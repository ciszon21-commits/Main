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K:\5106Z\4_計畫成果\44_容積計算系統建置\"/>
    </mc:Choice>
  </mc:AlternateContent>
  <xr:revisionPtr revIDLastSave="0" documentId="13_ncr:1_{F16C23F0-0555-4EBD-A0EE-21D3E41C992A}" xr6:coauthVersionLast="47" xr6:coauthVersionMax="47" xr10:uidLastSave="{00000000-0000-0000-0000-000000000000}"/>
  <bookViews>
    <workbookView xWindow="-120" yWindow="-120" windowWidth="29040" windowHeight="15720" xr2:uid="{8E7217B8-034C-4A60-B094-DC5FD7A1E680}"/>
  </bookViews>
  <sheets>
    <sheet name="可申請獎勵上限" sheetId="6" r:id="rId1"/>
    <sheet name="都更獎勵(北市)" sheetId="5" r:id="rId2"/>
    <sheet name="北市建築量體" sheetId="3" r:id="rId3"/>
    <sheet name="新北建築量體" sheetId="2"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s>
  <definedNames>
    <definedName name="\0">#REF!</definedName>
    <definedName name="\a">#REF!</definedName>
    <definedName name="\b">#REF!</definedName>
    <definedName name="\c">#REF!</definedName>
    <definedName name="\d">#REF!</definedName>
    <definedName name="\f">#REF!</definedName>
    <definedName name="\g">#REF!</definedName>
    <definedName name="\h">#REF!</definedName>
    <definedName name="\i">#REF!</definedName>
    <definedName name="\l">#REF!</definedName>
    <definedName name="\m">#REF!</definedName>
    <definedName name="\o">#REF!</definedName>
    <definedName name="\p">'[1]SRC-B3U2'!#REF!</definedName>
    <definedName name="\q">#REF!</definedName>
    <definedName name="\r">#REF!</definedName>
    <definedName name="\s">#REF!</definedName>
    <definedName name="\t">#REF!</definedName>
    <definedName name="\w">#REF!</definedName>
    <definedName name="\x">'[1]SRC-B3U2'!#REF!</definedName>
    <definedName name="\y">#REF!</definedName>
    <definedName name="\z">#REF!</definedName>
    <definedName name="_．共_22頁">#REF!</definedName>
    <definedName name="_____________________cpi02">#REF!</definedName>
    <definedName name="_____________________cpi59">#REF!</definedName>
    <definedName name="_____________________cpi60">#REF!</definedName>
    <definedName name="_____________________cpi62">#REF!</definedName>
    <definedName name="_____________________cpi63">#REF!</definedName>
    <definedName name="_____________________cpi64">#REF!</definedName>
    <definedName name="_____________________cpi65">#REF!</definedName>
    <definedName name="_____________________cpi66">#REF!</definedName>
    <definedName name="_____________________cpi67">#REF!</definedName>
    <definedName name="_____________________cpi68">#REF!</definedName>
    <definedName name="_____________________cpi69">#REF!</definedName>
    <definedName name="_____________________cpi70">#REF!</definedName>
    <definedName name="_____________________cpi71">#REF!</definedName>
    <definedName name="_____________________cpi72">#REF!</definedName>
    <definedName name="_____________________cpi73">#REF!</definedName>
    <definedName name="_____________________cpi74">#REF!</definedName>
    <definedName name="_____________________cpi75">#REF!</definedName>
    <definedName name="_____________________cpi76">#REF!</definedName>
    <definedName name="_____________________cpi77">#REF!</definedName>
    <definedName name="_____________________cpi78">#REF!</definedName>
    <definedName name="_____________________cpi79">#REF!</definedName>
    <definedName name="_____________________cpi80">#REF!</definedName>
    <definedName name="_____________________cpi81">#REF!</definedName>
    <definedName name="_____________________cpi82">#REF!</definedName>
    <definedName name="_____________________cpi83">#REF!</definedName>
    <definedName name="_____________________cpi84">#REF!</definedName>
    <definedName name="_____________________cpi85">#REF!</definedName>
    <definedName name="_____________________cpi86">#REF!</definedName>
    <definedName name="_____________________cpi87">#REF!</definedName>
    <definedName name="_____________________cpi88">#REF!</definedName>
    <definedName name="_____________________cpi89">#REF!</definedName>
    <definedName name="_____________________cpi90">#REF!</definedName>
    <definedName name="_____________________cpi91">#REF!</definedName>
    <definedName name="_____________________cpi92">#REF!</definedName>
    <definedName name="_____________________cpi93">#REF!</definedName>
    <definedName name="_____________________cpi94">#REF!</definedName>
    <definedName name="_____________________cpi95">#REF!</definedName>
    <definedName name="_____________________cpi96">#REF!</definedName>
    <definedName name="_____________________cpi97">#REF!</definedName>
    <definedName name="____________________cpi02">#REF!</definedName>
    <definedName name="____________________cpi59">#REF!</definedName>
    <definedName name="____________________cpi60">#REF!</definedName>
    <definedName name="____________________cpi62">#REF!</definedName>
    <definedName name="____________________cpi63">#REF!</definedName>
    <definedName name="____________________cpi64">#REF!</definedName>
    <definedName name="____________________cpi65">#REF!</definedName>
    <definedName name="____________________cpi66">#REF!</definedName>
    <definedName name="____________________cpi67">#REF!</definedName>
    <definedName name="____________________cpi68">#REF!</definedName>
    <definedName name="____________________cpi69">#REF!</definedName>
    <definedName name="____________________cpi70">#REF!</definedName>
    <definedName name="____________________cpi71">#REF!</definedName>
    <definedName name="____________________cpi72">#REF!</definedName>
    <definedName name="____________________cpi73">#REF!</definedName>
    <definedName name="____________________cpi74">#REF!</definedName>
    <definedName name="____________________cpi75">#REF!</definedName>
    <definedName name="____________________cpi76">#REF!</definedName>
    <definedName name="____________________cpi77">#REF!</definedName>
    <definedName name="____________________cpi78">#REF!</definedName>
    <definedName name="____________________cpi79">#REF!</definedName>
    <definedName name="____________________cpi80">#REF!</definedName>
    <definedName name="____________________cpi81">#REF!</definedName>
    <definedName name="____________________cpi82">#REF!</definedName>
    <definedName name="____________________cpi83">#REF!</definedName>
    <definedName name="____________________cpi84">#REF!</definedName>
    <definedName name="____________________cpi85">#REF!</definedName>
    <definedName name="____________________cpi86">#REF!</definedName>
    <definedName name="____________________cpi87">#REF!</definedName>
    <definedName name="____________________cpi88">#REF!</definedName>
    <definedName name="____________________cpi89">#REF!</definedName>
    <definedName name="____________________cpi90">#REF!</definedName>
    <definedName name="____________________cpi91">#REF!</definedName>
    <definedName name="____________________cpi92">#REF!</definedName>
    <definedName name="____________________cpi93">#REF!</definedName>
    <definedName name="____________________cpi94">#REF!</definedName>
    <definedName name="____________________cpi95">#REF!</definedName>
    <definedName name="____________________cpi96">#REF!</definedName>
    <definedName name="____________________cpi97">#REF!</definedName>
    <definedName name="___________________cpi02">#REF!</definedName>
    <definedName name="___________________cpi59">#REF!</definedName>
    <definedName name="___________________cpi60">#REF!</definedName>
    <definedName name="___________________cpi61">#REF!</definedName>
    <definedName name="___________________cpi62">#REF!</definedName>
    <definedName name="___________________cpi63">#REF!</definedName>
    <definedName name="___________________cpi64">#REF!</definedName>
    <definedName name="___________________cpi65">#REF!</definedName>
    <definedName name="___________________cpi66">#REF!</definedName>
    <definedName name="___________________cpi67">#REF!</definedName>
    <definedName name="___________________cpi68">#REF!</definedName>
    <definedName name="___________________cpi69">#REF!</definedName>
    <definedName name="___________________cpi70">#REF!</definedName>
    <definedName name="___________________cpi71">#REF!</definedName>
    <definedName name="___________________cpi72">#REF!</definedName>
    <definedName name="___________________cpi73">#REF!</definedName>
    <definedName name="___________________cpi74">#REF!</definedName>
    <definedName name="___________________cpi75">#REF!</definedName>
    <definedName name="___________________cpi76">#REF!</definedName>
    <definedName name="___________________cpi77">#REF!</definedName>
    <definedName name="___________________cpi78">#REF!</definedName>
    <definedName name="___________________cpi79">#REF!</definedName>
    <definedName name="___________________cpi80">#REF!</definedName>
    <definedName name="___________________cpi81">#REF!</definedName>
    <definedName name="___________________cpi82">#REF!</definedName>
    <definedName name="___________________cpi83">#REF!</definedName>
    <definedName name="___________________cpi84">#REF!</definedName>
    <definedName name="___________________cpi85">#REF!</definedName>
    <definedName name="___________________cpi86">#REF!</definedName>
    <definedName name="___________________cpi87">#REF!</definedName>
    <definedName name="___________________cpi88">#REF!</definedName>
    <definedName name="___________________cpi89">#REF!</definedName>
    <definedName name="___________________cpi90">#REF!</definedName>
    <definedName name="___________________cpi91">#REF!</definedName>
    <definedName name="___________________cpi92">#REF!</definedName>
    <definedName name="___________________cpi93">#REF!</definedName>
    <definedName name="___________________cpi94">#REF!</definedName>
    <definedName name="___________________cpi95">#REF!</definedName>
    <definedName name="___________________cpi96">#REF!</definedName>
    <definedName name="___________________cpi97">#REF!</definedName>
    <definedName name="__________________cpi02">#REF!</definedName>
    <definedName name="__________________cpi59">#REF!</definedName>
    <definedName name="__________________cpi60">#REF!</definedName>
    <definedName name="__________________cpi61">#REF!</definedName>
    <definedName name="__________________cpi62">#REF!</definedName>
    <definedName name="__________________cpi63">#REF!</definedName>
    <definedName name="__________________cpi64">#REF!</definedName>
    <definedName name="__________________cpi65">#REF!</definedName>
    <definedName name="__________________cpi66">#REF!</definedName>
    <definedName name="__________________cpi67">#REF!</definedName>
    <definedName name="__________________cpi68">#REF!</definedName>
    <definedName name="__________________cpi69">#REF!</definedName>
    <definedName name="__________________cpi70">#REF!</definedName>
    <definedName name="__________________cpi71">#REF!</definedName>
    <definedName name="__________________cpi72">#REF!</definedName>
    <definedName name="__________________cpi73">#REF!</definedName>
    <definedName name="__________________cpi74">#REF!</definedName>
    <definedName name="__________________cpi75">#REF!</definedName>
    <definedName name="__________________cpi76">#REF!</definedName>
    <definedName name="__________________cpi77">#REF!</definedName>
    <definedName name="__________________cpi78">#REF!</definedName>
    <definedName name="__________________cpi79">#REF!</definedName>
    <definedName name="__________________cpi80">#REF!</definedName>
    <definedName name="__________________cpi81">#REF!</definedName>
    <definedName name="__________________cpi82">#REF!</definedName>
    <definedName name="__________________cpi83">#REF!</definedName>
    <definedName name="__________________cpi84">#REF!</definedName>
    <definedName name="__________________cpi85">#REF!</definedName>
    <definedName name="__________________cpi86">#REF!</definedName>
    <definedName name="__________________cpi87">#REF!</definedName>
    <definedName name="__________________cpi88">#REF!</definedName>
    <definedName name="__________________cpi89">#REF!</definedName>
    <definedName name="__________________cpi90">#REF!</definedName>
    <definedName name="__________________cpi91">#REF!</definedName>
    <definedName name="__________________cpi92">#REF!</definedName>
    <definedName name="__________________cpi93">#REF!</definedName>
    <definedName name="__________________cpi94">#REF!</definedName>
    <definedName name="__________________cpi95">#REF!</definedName>
    <definedName name="__________________cpi96">#REF!</definedName>
    <definedName name="__________________cpi97">#REF!</definedName>
    <definedName name="__________________WRN011" hidden="1">{"P",#N/A,FALSE,"91.04開發申請"}</definedName>
    <definedName name="__________________WRN115" hidden="1">{"開發表全部",#N/A,TRUE,"土開法"}</definedName>
    <definedName name="__________________WRN20" hidden="1">{#N/A,#N/A,FALSE,"首頁";#N/A,#N/A,FALSE,"美國格式 ";#N/A,#N/A,FALSE,"市  調  案  例";#N/A,#N/A,FALSE,"鑑定表";#N/A,#N/A,FALSE,"建物鑑定表"}</definedName>
    <definedName name="__________________WRN321" hidden="1">{#N/A,#N/A,FALSE,"首頁";#N/A,#N/A,FALSE,"美國格式 ";#N/A,#N/A,FALSE,"市  調  案  例";#N/A,#N/A,FALSE,"鑑定表";#N/A,#N/A,FALSE,"建物鑑定表"}</definedName>
    <definedName name="_________________ADD1">#REF!</definedName>
    <definedName name="_________________cpi02">#REF!</definedName>
    <definedName name="_________________cpi59">#REF!</definedName>
    <definedName name="_________________cpi60">#REF!</definedName>
    <definedName name="_________________cpi61">#REF!</definedName>
    <definedName name="_________________cpi62">#REF!</definedName>
    <definedName name="_________________cpi63">#REF!</definedName>
    <definedName name="_________________cpi64">#REF!</definedName>
    <definedName name="_________________cpi65">#REF!</definedName>
    <definedName name="_________________cpi66">#REF!</definedName>
    <definedName name="_________________cpi67">#REF!</definedName>
    <definedName name="_________________cpi68">#REF!</definedName>
    <definedName name="_________________cpi69">#REF!</definedName>
    <definedName name="_________________cpi70">#REF!</definedName>
    <definedName name="_________________cpi71">#REF!</definedName>
    <definedName name="_________________cpi72">#REF!</definedName>
    <definedName name="_________________cpi73">#REF!</definedName>
    <definedName name="_________________cpi74">#REF!</definedName>
    <definedName name="_________________cpi75">#REF!</definedName>
    <definedName name="_________________cpi76">#REF!</definedName>
    <definedName name="_________________cpi77">#REF!</definedName>
    <definedName name="_________________cpi78">#REF!</definedName>
    <definedName name="_________________cpi79">#REF!</definedName>
    <definedName name="_________________cpi80">#REF!</definedName>
    <definedName name="_________________cpi81">#REF!</definedName>
    <definedName name="_________________cpi82">#REF!</definedName>
    <definedName name="_________________cpi83">#REF!</definedName>
    <definedName name="_________________cpi84">#REF!</definedName>
    <definedName name="_________________cpi85">#REF!</definedName>
    <definedName name="_________________cpi86">#REF!</definedName>
    <definedName name="_________________cpi87">#REF!</definedName>
    <definedName name="_________________cpi88">#REF!</definedName>
    <definedName name="_________________cpi89">#REF!</definedName>
    <definedName name="_________________cpi90">#REF!</definedName>
    <definedName name="_________________cpi91">#REF!</definedName>
    <definedName name="_________________cpi92">#REF!</definedName>
    <definedName name="_________________cpi93">#REF!</definedName>
    <definedName name="_________________cpi94">#REF!</definedName>
    <definedName name="_________________cpi95">#REF!</definedName>
    <definedName name="_________________cpi96">#REF!</definedName>
    <definedName name="_________________cpi97">#REF!</definedName>
    <definedName name="_________________MLS1">#REF!</definedName>
    <definedName name="________________ADD1">#REF!</definedName>
    <definedName name="________________ADD2">#REF!</definedName>
    <definedName name="________________ADD3">#REF!</definedName>
    <definedName name="________________cpi02">#REF!</definedName>
    <definedName name="________________cpi59">#REF!</definedName>
    <definedName name="________________cpi60">#REF!</definedName>
    <definedName name="________________cpi61">#REF!</definedName>
    <definedName name="________________cpi62">#REF!</definedName>
    <definedName name="________________cpi63">#REF!</definedName>
    <definedName name="________________cpi64">#REF!</definedName>
    <definedName name="________________cpi65">#REF!</definedName>
    <definedName name="________________cpi66">#REF!</definedName>
    <definedName name="________________cpi67">#REF!</definedName>
    <definedName name="________________cpi68">#REF!</definedName>
    <definedName name="________________cpi69">#REF!</definedName>
    <definedName name="________________cpi70">#REF!</definedName>
    <definedName name="________________cpi71">#REF!</definedName>
    <definedName name="________________cpi72">#REF!</definedName>
    <definedName name="________________cpi73">#REF!</definedName>
    <definedName name="________________cpi74">#REF!</definedName>
    <definedName name="________________cpi75">#REF!</definedName>
    <definedName name="________________cpi76">#REF!</definedName>
    <definedName name="________________cpi77">#REF!</definedName>
    <definedName name="________________cpi78">#REF!</definedName>
    <definedName name="________________cpi79">#REF!</definedName>
    <definedName name="________________cpi80">#REF!</definedName>
    <definedName name="________________cpi81">#REF!</definedName>
    <definedName name="________________cpi82">#REF!</definedName>
    <definedName name="________________cpi83">#REF!</definedName>
    <definedName name="________________cpi84">#REF!</definedName>
    <definedName name="________________cpi85">#REF!</definedName>
    <definedName name="________________cpi86">#REF!</definedName>
    <definedName name="________________cpi87">#REF!</definedName>
    <definedName name="________________cpi88">#REF!</definedName>
    <definedName name="________________cpi89">#REF!</definedName>
    <definedName name="________________cpi90">#REF!</definedName>
    <definedName name="________________cpi91">#REF!</definedName>
    <definedName name="________________cpi92">#REF!</definedName>
    <definedName name="________________cpi93">#REF!</definedName>
    <definedName name="________________cpi94">#REF!</definedName>
    <definedName name="________________cpi95">#REF!</definedName>
    <definedName name="________________cpi96">#REF!</definedName>
    <definedName name="________________cpi97">#REF!</definedName>
    <definedName name="________________MLS1">#REF!</definedName>
    <definedName name="________________MLS2">#REF!</definedName>
    <definedName name="________________WRN011" hidden="1">{"P",#N/A,FALSE,"91.04開發申請"}</definedName>
    <definedName name="________________WRN115" hidden="1">{"開發表全部",#N/A,TRUE,"土開法"}</definedName>
    <definedName name="________________WRN20" hidden="1">{#N/A,#N/A,FALSE,"首頁";#N/A,#N/A,FALSE,"美國格式 ";#N/A,#N/A,FALSE,"市  調  案  例";#N/A,#N/A,FALSE,"鑑定表";#N/A,#N/A,FALSE,"建物鑑定表"}</definedName>
    <definedName name="________________WRN321" hidden="1">{#N/A,#N/A,FALSE,"首頁";#N/A,#N/A,FALSE,"美國格式 ";#N/A,#N/A,FALSE,"市  調  案  例";#N/A,#N/A,FALSE,"鑑定表";#N/A,#N/A,FALSE,"建物鑑定表"}</definedName>
    <definedName name="_______________ADD1">#REF!</definedName>
    <definedName name="_______________ADD2">#REF!</definedName>
    <definedName name="_______________ADD3">#REF!</definedName>
    <definedName name="_______________cpi02">#REF!</definedName>
    <definedName name="_______________cpi59">#REF!</definedName>
    <definedName name="_______________cpi60">#REF!</definedName>
    <definedName name="_______________cpi61">#REF!</definedName>
    <definedName name="_______________cpi62">#REF!</definedName>
    <definedName name="_______________cpi63">#REF!</definedName>
    <definedName name="_______________cpi64">#REF!</definedName>
    <definedName name="_______________cpi65">#REF!</definedName>
    <definedName name="_______________cpi66">#REF!</definedName>
    <definedName name="_______________cpi67">#REF!</definedName>
    <definedName name="_______________cpi68">#REF!</definedName>
    <definedName name="_______________cpi69">#REF!</definedName>
    <definedName name="_______________cpi70">#REF!</definedName>
    <definedName name="_______________cpi71">#REF!</definedName>
    <definedName name="_______________cpi72">#REF!</definedName>
    <definedName name="_______________cpi73">#REF!</definedName>
    <definedName name="_______________cpi74">#REF!</definedName>
    <definedName name="_______________cpi75">#REF!</definedName>
    <definedName name="_______________cpi76">#REF!</definedName>
    <definedName name="_______________cpi77">#REF!</definedName>
    <definedName name="_______________cpi78">#REF!</definedName>
    <definedName name="_______________cpi79">#REF!</definedName>
    <definedName name="_______________cpi80">#REF!</definedName>
    <definedName name="_______________cpi81">#REF!</definedName>
    <definedName name="_______________cpi82">#REF!</definedName>
    <definedName name="_______________cpi83">#REF!</definedName>
    <definedName name="_______________cpi84">#REF!</definedName>
    <definedName name="_______________cpi85">#REF!</definedName>
    <definedName name="_______________cpi86">#REF!</definedName>
    <definedName name="_______________cpi87">#REF!</definedName>
    <definedName name="_______________cpi88">#REF!</definedName>
    <definedName name="_______________cpi89">#REF!</definedName>
    <definedName name="_______________cpi90">#REF!</definedName>
    <definedName name="_______________cpi91">#REF!</definedName>
    <definedName name="_______________cpi92">#REF!</definedName>
    <definedName name="_______________cpi93">#REF!</definedName>
    <definedName name="_______________cpi94">#REF!</definedName>
    <definedName name="_______________cpi95">#REF!</definedName>
    <definedName name="_______________cpi96">#REF!</definedName>
    <definedName name="_______________cpi97">#REF!</definedName>
    <definedName name="_______________MLS1">#REF!</definedName>
    <definedName name="_______________MLS2">#REF!</definedName>
    <definedName name="_______________WRN011" hidden="1">{"P",#N/A,FALSE,"91.04開發申請"}</definedName>
    <definedName name="_______________WRN115" hidden="1">{"開發表全部",#N/A,TRUE,"土開法"}</definedName>
    <definedName name="_______________WRN20" hidden="1">{#N/A,#N/A,FALSE,"首頁";#N/A,#N/A,FALSE,"美國格式 ";#N/A,#N/A,FALSE,"市  調  案  例";#N/A,#N/A,FALSE,"鑑定表";#N/A,#N/A,FALSE,"建物鑑定表"}</definedName>
    <definedName name="_______________WRN321" hidden="1">{#N/A,#N/A,FALSE,"首頁";#N/A,#N/A,FALSE,"美國格式 ";#N/A,#N/A,FALSE,"市  調  案  例";#N/A,#N/A,FALSE,"鑑定表";#N/A,#N/A,FALSE,"建物鑑定表"}</definedName>
    <definedName name="______________ADD1">#REF!</definedName>
    <definedName name="______________ADD2">#REF!</definedName>
    <definedName name="______________ADD3">#REF!</definedName>
    <definedName name="______________cpi02">#REF!</definedName>
    <definedName name="______________cpi59">#REF!</definedName>
    <definedName name="______________cpi60">#REF!</definedName>
    <definedName name="______________cpi61">#REF!</definedName>
    <definedName name="______________cpi62">#REF!</definedName>
    <definedName name="______________cpi63">#REF!</definedName>
    <definedName name="______________cpi64">#REF!</definedName>
    <definedName name="______________cpi65">#REF!</definedName>
    <definedName name="______________cpi66">#REF!</definedName>
    <definedName name="______________cpi67">#REF!</definedName>
    <definedName name="______________cpi68">#REF!</definedName>
    <definedName name="______________cpi69">#REF!</definedName>
    <definedName name="______________cpi70">#REF!</definedName>
    <definedName name="______________cpi71">#REF!</definedName>
    <definedName name="______________cpi72">#REF!</definedName>
    <definedName name="______________cpi73">#REF!</definedName>
    <definedName name="______________cpi74">#REF!</definedName>
    <definedName name="______________cpi75">#REF!</definedName>
    <definedName name="______________cpi76">#REF!</definedName>
    <definedName name="______________cpi77">#REF!</definedName>
    <definedName name="______________cpi78">#REF!</definedName>
    <definedName name="______________cpi79">#REF!</definedName>
    <definedName name="______________cpi80">#REF!</definedName>
    <definedName name="______________cpi81">#REF!</definedName>
    <definedName name="______________cpi82">#REF!</definedName>
    <definedName name="______________cpi83">#REF!</definedName>
    <definedName name="______________cpi84">#REF!</definedName>
    <definedName name="______________cpi85">#REF!</definedName>
    <definedName name="______________cpi86">#REF!</definedName>
    <definedName name="______________cpi87">#REF!</definedName>
    <definedName name="______________cpi88">#REF!</definedName>
    <definedName name="______________cpi89">#REF!</definedName>
    <definedName name="______________cpi90">#REF!</definedName>
    <definedName name="______________cpi91">#REF!</definedName>
    <definedName name="______________cpi92">#REF!</definedName>
    <definedName name="______________cpi93">#REF!</definedName>
    <definedName name="______________cpi94">#REF!</definedName>
    <definedName name="______________cpi95">#REF!</definedName>
    <definedName name="______________cpi96">#REF!</definedName>
    <definedName name="______________cpi97">#REF!</definedName>
    <definedName name="______________MLS1">#REF!</definedName>
    <definedName name="______________MLS2">#REF!</definedName>
    <definedName name="______________WRN011" hidden="1">{"P",#N/A,FALSE,"91.04開發申請"}</definedName>
    <definedName name="______________WRN115" hidden="1">{"開發表全部",#N/A,TRUE,"土開法"}</definedName>
    <definedName name="______________WRN20" hidden="1">{#N/A,#N/A,FALSE,"首頁";#N/A,#N/A,FALSE,"美國格式 ";#N/A,#N/A,FALSE,"市  調  案  例";#N/A,#N/A,FALSE,"鑑定表";#N/A,#N/A,FALSE,"建物鑑定表"}</definedName>
    <definedName name="______________WRN321" hidden="1">{#N/A,#N/A,FALSE,"首頁";#N/A,#N/A,FALSE,"美國格式 ";#N/A,#N/A,FALSE,"市  調  案  例";#N/A,#N/A,FALSE,"鑑定表";#N/A,#N/A,FALSE,"建物鑑定表"}</definedName>
    <definedName name="_____________ADD1">#REF!</definedName>
    <definedName name="_____________ADD2">#REF!</definedName>
    <definedName name="_____________ADD3">#REF!</definedName>
    <definedName name="_____________cpi02">#REF!</definedName>
    <definedName name="_____________cpi59">#REF!</definedName>
    <definedName name="_____________cpi60">#REF!</definedName>
    <definedName name="_____________cpi61">#REF!</definedName>
    <definedName name="_____________cpi62">#REF!</definedName>
    <definedName name="_____________cpi63">#REF!</definedName>
    <definedName name="_____________cpi64">#REF!</definedName>
    <definedName name="_____________cpi65">#REF!</definedName>
    <definedName name="_____________cpi66">#REF!</definedName>
    <definedName name="_____________cpi67">#REF!</definedName>
    <definedName name="_____________cpi68">#REF!</definedName>
    <definedName name="_____________cpi69">#REF!</definedName>
    <definedName name="_____________cpi70">#REF!</definedName>
    <definedName name="_____________cpi71">#REF!</definedName>
    <definedName name="_____________cpi72">#REF!</definedName>
    <definedName name="_____________cpi73">#REF!</definedName>
    <definedName name="_____________cpi74">#REF!</definedName>
    <definedName name="_____________cpi75">#REF!</definedName>
    <definedName name="_____________cpi76">#REF!</definedName>
    <definedName name="_____________cpi77">#REF!</definedName>
    <definedName name="_____________cpi78">#REF!</definedName>
    <definedName name="_____________cpi79">#REF!</definedName>
    <definedName name="_____________cpi80">#REF!</definedName>
    <definedName name="_____________cpi81">#REF!</definedName>
    <definedName name="_____________cpi82">#REF!</definedName>
    <definedName name="_____________cpi83">#REF!</definedName>
    <definedName name="_____________cpi84">#REF!</definedName>
    <definedName name="_____________cpi85">#REF!</definedName>
    <definedName name="_____________cpi86">#REF!</definedName>
    <definedName name="_____________cpi87">#REF!</definedName>
    <definedName name="_____________cpi88">#REF!</definedName>
    <definedName name="_____________cpi89">#REF!</definedName>
    <definedName name="_____________cpi90">#REF!</definedName>
    <definedName name="_____________cpi91">#REF!</definedName>
    <definedName name="_____________cpi92">#REF!</definedName>
    <definedName name="_____________cpi93">#REF!</definedName>
    <definedName name="_____________cpi94">#REF!</definedName>
    <definedName name="_____________cpi95">#REF!</definedName>
    <definedName name="_____________cpi96">#REF!</definedName>
    <definedName name="_____________cpi97">#REF!</definedName>
    <definedName name="_____________MLS1">#REF!</definedName>
    <definedName name="_____________MLS2">#REF!</definedName>
    <definedName name="_____________WRN011" hidden="1">{"P",#N/A,FALSE,"91.04開發申請"}</definedName>
    <definedName name="_____________WRN115" hidden="1">{"開發表全部",#N/A,TRUE,"土開法"}</definedName>
    <definedName name="_____________WRN20" hidden="1">{#N/A,#N/A,FALSE,"首頁";#N/A,#N/A,FALSE,"美國格式 ";#N/A,#N/A,FALSE,"市  調  案  例";#N/A,#N/A,FALSE,"鑑定表";#N/A,#N/A,FALSE,"建物鑑定表"}</definedName>
    <definedName name="_____________WRN321" hidden="1">{#N/A,#N/A,FALSE,"首頁";#N/A,#N/A,FALSE,"美國格式 ";#N/A,#N/A,FALSE,"市  調  案  例";#N/A,#N/A,FALSE,"鑑定表";#N/A,#N/A,FALSE,"建物鑑定表"}</definedName>
    <definedName name="____________ADD1">#REF!</definedName>
    <definedName name="____________ADD2">#REF!</definedName>
    <definedName name="____________ADD3">#REF!</definedName>
    <definedName name="____________cpi02">#REF!</definedName>
    <definedName name="____________cpi59">#REF!</definedName>
    <definedName name="____________cpi60">#REF!</definedName>
    <definedName name="____________cpi61">#REF!</definedName>
    <definedName name="____________cpi62">#REF!</definedName>
    <definedName name="____________cpi63">#REF!</definedName>
    <definedName name="____________cpi64">#REF!</definedName>
    <definedName name="____________cpi65">#REF!</definedName>
    <definedName name="____________cpi66">#REF!</definedName>
    <definedName name="____________cpi67">#REF!</definedName>
    <definedName name="____________cpi68">#REF!</definedName>
    <definedName name="____________cpi69">#REF!</definedName>
    <definedName name="____________cpi70">#REF!</definedName>
    <definedName name="____________cpi71">#REF!</definedName>
    <definedName name="____________cpi72">#REF!</definedName>
    <definedName name="____________cpi73">#REF!</definedName>
    <definedName name="____________cpi74">#REF!</definedName>
    <definedName name="____________cpi75">#REF!</definedName>
    <definedName name="____________cpi76">#REF!</definedName>
    <definedName name="____________cpi77">#REF!</definedName>
    <definedName name="____________cpi78">#REF!</definedName>
    <definedName name="____________cpi79">#REF!</definedName>
    <definedName name="____________cpi80">#REF!</definedName>
    <definedName name="____________cpi81">#REF!</definedName>
    <definedName name="____________cpi82">#REF!</definedName>
    <definedName name="____________cpi83">#REF!</definedName>
    <definedName name="____________cpi84">#REF!</definedName>
    <definedName name="____________cpi85">#REF!</definedName>
    <definedName name="____________cpi86">#REF!</definedName>
    <definedName name="____________cpi87">#REF!</definedName>
    <definedName name="____________cpi88">#REF!</definedName>
    <definedName name="____________cpi89">#REF!</definedName>
    <definedName name="____________cpi90">#REF!</definedName>
    <definedName name="____________cpi91">#REF!</definedName>
    <definedName name="____________cpi92">#REF!</definedName>
    <definedName name="____________cpi93">#REF!</definedName>
    <definedName name="____________cpi94">#REF!</definedName>
    <definedName name="____________cpi95">#REF!</definedName>
    <definedName name="____________cpi96">#REF!</definedName>
    <definedName name="____________cpi97">#REF!</definedName>
    <definedName name="____________MLS1">#REF!</definedName>
    <definedName name="____________MLS2">#REF!</definedName>
    <definedName name="____________WRN011" hidden="1">{"P",#N/A,FALSE,"91.04開發申請"}</definedName>
    <definedName name="____________WRN115" hidden="1">{"開發表全部",#N/A,TRUE,"土開法"}</definedName>
    <definedName name="____________WRN20" hidden="1">{#N/A,#N/A,FALSE,"首頁";#N/A,#N/A,FALSE,"美國格式 ";#N/A,#N/A,FALSE,"市  調  案  例";#N/A,#N/A,FALSE,"鑑定表";#N/A,#N/A,FALSE,"建物鑑定表"}</definedName>
    <definedName name="____________WRN321" hidden="1">{#N/A,#N/A,FALSE,"首頁";#N/A,#N/A,FALSE,"美國格式 ";#N/A,#N/A,FALSE,"市  調  案  例";#N/A,#N/A,FALSE,"鑑定表";#N/A,#N/A,FALSE,"建物鑑定表"}</definedName>
    <definedName name="___________ADD1">#REF!</definedName>
    <definedName name="___________ADD2">#REF!</definedName>
    <definedName name="___________ADD3">#REF!</definedName>
    <definedName name="___________cpi02">#REF!</definedName>
    <definedName name="___________cpi59">#REF!</definedName>
    <definedName name="___________cpi60">#REF!</definedName>
    <definedName name="___________cpi61">#REF!</definedName>
    <definedName name="___________cpi62">#REF!</definedName>
    <definedName name="___________cpi63">#REF!</definedName>
    <definedName name="___________cpi64">#REF!</definedName>
    <definedName name="___________cpi65">#REF!</definedName>
    <definedName name="___________cpi66">#REF!</definedName>
    <definedName name="___________cpi67">#REF!</definedName>
    <definedName name="___________cpi68">#REF!</definedName>
    <definedName name="___________cpi69">#REF!</definedName>
    <definedName name="___________cpi70">#REF!</definedName>
    <definedName name="___________cpi71">#REF!</definedName>
    <definedName name="___________cpi72">#REF!</definedName>
    <definedName name="___________cpi73">#REF!</definedName>
    <definedName name="___________cpi74">#REF!</definedName>
    <definedName name="___________cpi75">#REF!</definedName>
    <definedName name="___________cpi76">#REF!</definedName>
    <definedName name="___________cpi77">#REF!</definedName>
    <definedName name="___________cpi78">#REF!</definedName>
    <definedName name="___________cpi79">#REF!</definedName>
    <definedName name="___________cpi80">#REF!</definedName>
    <definedName name="___________cpi81">#REF!</definedName>
    <definedName name="___________cpi82">#REF!</definedName>
    <definedName name="___________cpi83">#REF!</definedName>
    <definedName name="___________cpi84">#REF!</definedName>
    <definedName name="___________cpi85">#REF!</definedName>
    <definedName name="___________cpi86">#REF!</definedName>
    <definedName name="___________cpi87">#REF!</definedName>
    <definedName name="___________cpi88">#REF!</definedName>
    <definedName name="___________cpi89">#REF!</definedName>
    <definedName name="___________cpi90">#REF!</definedName>
    <definedName name="___________cpi91">#REF!</definedName>
    <definedName name="___________cpi92">#REF!</definedName>
    <definedName name="___________cpi93">#REF!</definedName>
    <definedName name="___________cpi94">#REF!</definedName>
    <definedName name="___________cpi95">#REF!</definedName>
    <definedName name="___________cpi96">#REF!</definedName>
    <definedName name="___________cpi97">#REF!</definedName>
    <definedName name="___________MLS1">#REF!</definedName>
    <definedName name="___________MLS2">#REF!</definedName>
    <definedName name="___________WRN011" hidden="1">{"P",#N/A,FALSE,"91.04開發申請"}</definedName>
    <definedName name="___________WRN115" hidden="1">{"開發表全部",#N/A,TRUE,"土開法"}</definedName>
    <definedName name="___________WRN20" hidden="1">{#N/A,#N/A,FALSE,"首頁";#N/A,#N/A,FALSE,"美國格式 ";#N/A,#N/A,FALSE,"市  調  案  例";#N/A,#N/A,FALSE,"鑑定表";#N/A,#N/A,FALSE,"建物鑑定表"}</definedName>
    <definedName name="___________WRN321" hidden="1">{#N/A,#N/A,FALSE,"首頁";#N/A,#N/A,FALSE,"美國格式 ";#N/A,#N/A,FALSE,"市  調  案  例";#N/A,#N/A,FALSE,"鑑定表";#N/A,#N/A,FALSE,"建物鑑定表"}</definedName>
    <definedName name="__________ADD1">#REF!</definedName>
    <definedName name="__________ADD2">#REF!</definedName>
    <definedName name="__________ADD3">#REF!</definedName>
    <definedName name="__________cpi02">#REF!</definedName>
    <definedName name="__________cpi59">#REF!</definedName>
    <definedName name="__________cpi60">#REF!</definedName>
    <definedName name="__________cpi61">#REF!</definedName>
    <definedName name="__________cpi62">#REF!</definedName>
    <definedName name="__________cpi63">#REF!</definedName>
    <definedName name="__________cpi64">#REF!</definedName>
    <definedName name="__________cpi65">#REF!</definedName>
    <definedName name="__________cpi66">#REF!</definedName>
    <definedName name="__________cpi67">#REF!</definedName>
    <definedName name="__________cpi68">#REF!</definedName>
    <definedName name="__________cpi69">#REF!</definedName>
    <definedName name="__________cpi70">#REF!</definedName>
    <definedName name="__________cpi71">#REF!</definedName>
    <definedName name="__________cpi72">#REF!</definedName>
    <definedName name="__________cpi73">#REF!</definedName>
    <definedName name="__________cpi74">#REF!</definedName>
    <definedName name="__________cpi75">#REF!</definedName>
    <definedName name="__________cpi76">#REF!</definedName>
    <definedName name="__________cpi77">#REF!</definedName>
    <definedName name="__________cpi78">#REF!</definedName>
    <definedName name="__________cpi79">#REF!</definedName>
    <definedName name="__________cpi80">#REF!</definedName>
    <definedName name="__________cpi81">#REF!</definedName>
    <definedName name="__________cpi82">#REF!</definedName>
    <definedName name="__________cpi83">#REF!</definedName>
    <definedName name="__________cpi84">#REF!</definedName>
    <definedName name="__________cpi85">#REF!</definedName>
    <definedName name="__________cpi86">#REF!</definedName>
    <definedName name="__________cpi87">#REF!</definedName>
    <definedName name="__________cpi88">#REF!</definedName>
    <definedName name="__________cpi89">#REF!</definedName>
    <definedName name="__________cpi90">#REF!</definedName>
    <definedName name="__________cpi91">#REF!</definedName>
    <definedName name="__________cpi92">#REF!</definedName>
    <definedName name="__________cpi93">#REF!</definedName>
    <definedName name="__________cpi94">#REF!</definedName>
    <definedName name="__________cpi95">#REF!</definedName>
    <definedName name="__________cpi96">#REF!</definedName>
    <definedName name="__________cpi97">#REF!</definedName>
    <definedName name="__________MLS1">#REF!</definedName>
    <definedName name="__________MLS2">#REF!</definedName>
    <definedName name="__________WRN011" hidden="1">{"P",#N/A,FALSE,"91.04開發申請"}</definedName>
    <definedName name="__________WRN115" hidden="1">{"開發表全部",#N/A,TRUE,"土開法"}</definedName>
    <definedName name="__________WRN20" hidden="1">{#N/A,#N/A,FALSE,"首頁";#N/A,#N/A,FALSE,"美國格式 ";#N/A,#N/A,FALSE,"市  調  案  例";#N/A,#N/A,FALSE,"鑑定表";#N/A,#N/A,FALSE,"建物鑑定表"}</definedName>
    <definedName name="__________WRN321" hidden="1">{#N/A,#N/A,FALSE,"首頁";#N/A,#N/A,FALSE,"美國格式 ";#N/A,#N/A,FALSE,"市  調  案  例";#N/A,#N/A,FALSE,"鑑定表";#N/A,#N/A,FALSE,"建物鑑定表"}</definedName>
    <definedName name="_________ADD1">#REF!</definedName>
    <definedName name="_________ADD2">#REF!</definedName>
    <definedName name="_________ADD3">#REF!</definedName>
    <definedName name="_________cpi02">#REF!</definedName>
    <definedName name="_________cpi59">#REF!</definedName>
    <definedName name="_________cpi60">#REF!</definedName>
    <definedName name="_________cpi61">#REF!</definedName>
    <definedName name="_________cpi62">#REF!</definedName>
    <definedName name="_________cpi63">#REF!</definedName>
    <definedName name="_________cpi64">#REF!</definedName>
    <definedName name="_________cpi65">#REF!</definedName>
    <definedName name="_________cpi66">#REF!</definedName>
    <definedName name="_________cpi67">#REF!</definedName>
    <definedName name="_________cpi68">#REF!</definedName>
    <definedName name="_________cpi69">#REF!</definedName>
    <definedName name="_________cpi70">#REF!</definedName>
    <definedName name="_________cpi71">#REF!</definedName>
    <definedName name="_________cpi72">#REF!</definedName>
    <definedName name="_________cpi73">#REF!</definedName>
    <definedName name="_________cpi74">#REF!</definedName>
    <definedName name="_________cpi75">#REF!</definedName>
    <definedName name="_________cpi76">#REF!</definedName>
    <definedName name="_________cpi77">#REF!</definedName>
    <definedName name="_________cpi78">#REF!</definedName>
    <definedName name="_________cpi79">#REF!</definedName>
    <definedName name="_________cpi80">#REF!</definedName>
    <definedName name="_________cpi81">#REF!</definedName>
    <definedName name="_________cpi82">#REF!</definedName>
    <definedName name="_________cpi83">#REF!</definedName>
    <definedName name="_________cpi84">#REF!</definedName>
    <definedName name="_________cpi85">#REF!</definedName>
    <definedName name="_________cpi86">#REF!</definedName>
    <definedName name="_________cpi87">#REF!</definedName>
    <definedName name="_________cpi88">#REF!</definedName>
    <definedName name="_________cpi89">#REF!</definedName>
    <definedName name="_________cpi90">#REF!</definedName>
    <definedName name="_________cpi91">#REF!</definedName>
    <definedName name="_________cpi92">#REF!</definedName>
    <definedName name="_________cpi93">#REF!</definedName>
    <definedName name="_________cpi94">#REF!</definedName>
    <definedName name="_________cpi95">#REF!</definedName>
    <definedName name="_________cpi96">#REF!</definedName>
    <definedName name="_________cpi97">#REF!</definedName>
    <definedName name="_________MLS1">#REF!</definedName>
    <definedName name="_________MLS2">#REF!</definedName>
    <definedName name="_________WRN011" hidden="1">{"P",#N/A,FALSE,"91.04開發申請"}</definedName>
    <definedName name="_________WRN115" hidden="1">{"開發表全部",#N/A,TRUE,"土開法"}</definedName>
    <definedName name="_________WRN20" hidden="1">{#N/A,#N/A,FALSE,"首頁";#N/A,#N/A,FALSE,"美國格式 ";#N/A,#N/A,FALSE,"市  調  案  例";#N/A,#N/A,FALSE,"鑑定表";#N/A,#N/A,FALSE,"建物鑑定表"}</definedName>
    <definedName name="_________WRN321" hidden="1">{#N/A,#N/A,FALSE,"首頁";#N/A,#N/A,FALSE,"美國格式 ";#N/A,#N/A,FALSE,"市  調  案  例";#N/A,#N/A,FALSE,"鑑定表";#N/A,#N/A,FALSE,"建物鑑定表"}</definedName>
    <definedName name="________ADD1">#REF!</definedName>
    <definedName name="________ADD2">#REF!</definedName>
    <definedName name="________ADD3">#REF!</definedName>
    <definedName name="________cpi02">#REF!</definedName>
    <definedName name="________cpi59">#REF!</definedName>
    <definedName name="________cpi60">#REF!</definedName>
    <definedName name="________cpi61">#REF!</definedName>
    <definedName name="________cpi62">#REF!</definedName>
    <definedName name="________cpi63">#REF!</definedName>
    <definedName name="________cpi64">#REF!</definedName>
    <definedName name="________cpi65">#REF!</definedName>
    <definedName name="________cpi66">#REF!</definedName>
    <definedName name="________cpi67">#REF!</definedName>
    <definedName name="________cpi68">#REF!</definedName>
    <definedName name="________cpi69">#REF!</definedName>
    <definedName name="________cpi70">#REF!</definedName>
    <definedName name="________cpi71">#REF!</definedName>
    <definedName name="________cpi72">#REF!</definedName>
    <definedName name="________cpi73">#REF!</definedName>
    <definedName name="________cpi74">#REF!</definedName>
    <definedName name="________cpi75">#REF!</definedName>
    <definedName name="________cpi76">#REF!</definedName>
    <definedName name="________cpi77">#REF!</definedName>
    <definedName name="________cpi78">#REF!</definedName>
    <definedName name="________cpi79">#REF!</definedName>
    <definedName name="________cpi80">#REF!</definedName>
    <definedName name="________cpi81">#REF!</definedName>
    <definedName name="________cpi82">#REF!</definedName>
    <definedName name="________cpi83">#REF!</definedName>
    <definedName name="________cpi84">#REF!</definedName>
    <definedName name="________cpi85">#REF!</definedName>
    <definedName name="________cpi86">#REF!</definedName>
    <definedName name="________cpi87">#REF!</definedName>
    <definedName name="________cpi88">#REF!</definedName>
    <definedName name="________cpi89">#REF!</definedName>
    <definedName name="________cpi90">#REF!</definedName>
    <definedName name="________cpi91">#REF!</definedName>
    <definedName name="________cpi92">#REF!</definedName>
    <definedName name="________cpi93">#REF!</definedName>
    <definedName name="________cpi94">#REF!</definedName>
    <definedName name="________cpi95">#REF!</definedName>
    <definedName name="________cpi96">#REF!</definedName>
    <definedName name="________cpi97">#REF!</definedName>
    <definedName name="________MLS1">#REF!</definedName>
    <definedName name="________MLS2">#REF!</definedName>
    <definedName name="________WRN011" hidden="1">{"P",#N/A,FALSE,"91.04開發申請"}</definedName>
    <definedName name="________WRN115" hidden="1">{"開發表全部",#N/A,TRUE,"土開法"}</definedName>
    <definedName name="________WRN20" hidden="1">{#N/A,#N/A,FALSE,"首頁";#N/A,#N/A,FALSE,"美國格式 ";#N/A,#N/A,FALSE,"市  調  案  例";#N/A,#N/A,FALSE,"鑑定表";#N/A,#N/A,FALSE,"建物鑑定表"}</definedName>
    <definedName name="________WRN321" hidden="1">{#N/A,#N/A,FALSE,"首頁";#N/A,#N/A,FALSE,"美國格式 ";#N/A,#N/A,FALSE,"市  調  案  例";#N/A,#N/A,FALSE,"鑑定表";#N/A,#N/A,FALSE,"建物鑑定表"}</definedName>
    <definedName name="_______ADD1">#REF!</definedName>
    <definedName name="_______ADD2">#REF!</definedName>
    <definedName name="_______ADD3">#REF!</definedName>
    <definedName name="_______cpi02">#REF!</definedName>
    <definedName name="_______cpi59">#REF!</definedName>
    <definedName name="_______cpi60">#REF!</definedName>
    <definedName name="_______cpi61">#REF!</definedName>
    <definedName name="_______cpi62">#REF!</definedName>
    <definedName name="_______cpi63">#REF!</definedName>
    <definedName name="_______cpi64">#REF!</definedName>
    <definedName name="_______cpi65">#REF!</definedName>
    <definedName name="_______cpi66">#REF!</definedName>
    <definedName name="_______cpi67">#REF!</definedName>
    <definedName name="_______cpi68">#REF!</definedName>
    <definedName name="_______cpi69">#REF!</definedName>
    <definedName name="_______cpi70">#REF!</definedName>
    <definedName name="_______cpi71">#REF!</definedName>
    <definedName name="_______cpi72">#REF!</definedName>
    <definedName name="_______cpi73">#REF!</definedName>
    <definedName name="_______cpi74">#REF!</definedName>
    <definedName name="_______cpi75">#REF!</definedName>
    <definedName name="_______cpi76">#REF!</definedName>
    <definedName name="_______cpi77">#REF!</definedName>
    <definedName name="_______cpi78">#REF!</definedName>
    <definedName name="_______cpi79">#REF!</definedName>
    <definedName name="_______cpi80">#REF!</definedName>
    <definedName name="_______cpi81">#REF!</definedName>
    <definedName name="_______cpi82">#REF!</definedName>
    <definedName name="_______cpi83">#REF!</definedName>
    <definedName name="_______cpi84">#REF!</definedName>
    <definedName name="_______cpi85">#REF!</definedName>
    <definedName name="_______cpi86">#REF!</definedName>
    <definedName name="_______cpi87">#REF!</definedName>
    <definedName name="_______cpi88">#REF!</definedName>
    <definedName name="_______cpi89">#REF!</definedName>
    <definedName name="_______cpi90">#REF!</definedName>
    <definedName name="_______cpi91">#REF!</definedName>
    <definedName name="_______cpi92">#REF!</definedName>
    <definedName name="_______cpi93">#REF!</definedName>
    <definedName name="_______cpi94">#REF!</definedName>
    <definedName name="_______cpi95">#REF!</definedName>
    <definedName name="_______cpi96">#REF!</definedName>
    <definedName name="_______cpi97">#REF!</definedName>
    <definedName name="_______MLS1">#REF!</definedName>
    <definedName name="_______MLS2">#REF!</definedName>
    <definedName name="_______WRN011" hidden="1">{"P",#N/A,FALSE,"91.04開發申請"}</definedName>
    <definedName name="_______WRN115" hidden="1">{"開發表全部",#N/A,TRUE,"土開法"}</definedName>
    <definedName name="_______WRN20" hidden="1">{#N/A,#N/A,FALSE,"首頁";#N/A,#N/A,FALSE,"美國格式 ";#N/A,#N/A,FALSE,"市  調  案  例";#N/A,#N/A,FALSE,"鑑定表";#N/A,#N/A,FALSE,"建物鑑定表"}</definedName>
    <definedName name="_______WRN321" hidden="1">{#N/A,#N/A,FALSE,"首頁";#N/A,#N/A,FALSE,"美國格式 ";#N/A,#N/A,FALSE,"市  調  案  例";#N/A,#N/A,FALSE,"鑑定表";#N/A,#N/A,FALSE,"建物鑑定表"}</definedName>
    <definedName name="______ADD1">#REF!</definedName>
    <definedName name="______ADD2">#REF!</definedName>
    <definedName name="______ADD3">#REF!</definedName>
    <definedName name="______cpi02">#REF!</definedName>
    <definedName name="______cpi59">#REF!</definedName>
    <definedName name="______cpi60">#REF!</definedName>
    <definedName name="______cpi61">#REF!</definedName>
    <definedName name="______cpi62">#REF!</definedName>
    <definedName name="______cpi63">#REF!</definedName>
    <definedName name="______cpi64">#REF!</definedName>
    <definedName name="______cpi65">#REF!</definedName>
    <definedName name="______cpi66">#REF!</definedName>
    <definedName name="______cpi67">#REF!</definedName>
    <definedName name="______cpi68">#REF!</definedName>
    <definedName name="______cpi69">#REF!</definedName>
    <definedName name="______cpi70">#REF!</definedName>
    <definedName name="______cpi71">#REF!</definedName>
    <definedName name="______cpi72">#REF!</definedName>
    <definedName name="______cpi73">#REF!</definedName>
    <definedName name="______cpi74">#REF!</definedName>
    <definedName name="______cpi75">#REF!</definedName>
    <definedName name="______cpi76">#REF!</definedName>
    <definedName name="______cpi77">#REF!</definedName>
    <definedName name="______cpi78">#REF!</definedName>
    <definedName name="______cpi79">#REF!</definedName>
    <definedName name="______cpi80">#REF!</definedName>
    <definedName name="______cpi81">#REF!</definedName>
    <definedName name="______cpi82">#REF!</definedName>
    <definedName name="______cpi83">#REF!</definedName>
    <definedName name="______cpi84">#REF!</definedName>
    <definedName name="______cpi85">#REF!</definedName>
    <definedName name="______cpi86">#REF!</definedName>
    <definedName name="______cpi87">#REF!</definedName>
    <definedName name="______cpi88">#REF!</definedName>
    <definedName name="______cpi89">#REF!</definedName>
    <definedName name="______cpi90">#REF!</definedName>
    <definedName name="______cpi91">#REF!</definedName>
    <definedName name="______cpi92">#REF!</definedName>
    <definedName name="______cpi93">#REF!</definedName>
    <definedName name="______cpi94">#REF!</definedName>
    <definedName name="______cpi95">#REF!</definedName>
    <definedName name="______cpi96">#REF!</definedName>
    <definedName name="______cpi97">#REF!</definedName>
    <definedName name="______MLS1">#REF!</definedName>
    <definedName name="______MLS2">#REF!</definedName>
    <definedName name="______WRN011" hidden="1">{"P",#N/A,FALSE,"91.04開發申請"}</definedName>
    <definedName name="______WRN115" hidden="1">{"開發表全部",#N/A,TRUE,"土開法"}</definedName>
    <definedName name="______WRN20" hidden="1">{#N/A,#N/A,FALSE,"首頁";#N/A,#N/A,FALSE,"美國格式 ";#N/A,#N/A,FALSE,"市  調  案  例";#N/A,#N/A,FALSE,"鑑定表";#N/A,#N/A,FALSE,"建物鑑定表"}</definedName>
    <definedName name="______WRN321" hidden="1">{#N/A,#N/A,FALSE,"首頁";#N/A,#N/A,FALSE,"美國格式 ";#N/A,#N/A,FALSE,"市  調  案  例";#N/A,#N/A,FALSE,"鑑定表";#N/A,#N/A,FALSE,"建物鑑定表"}</definedName>
    <definedName name="_____ABO1">#REF!</definedName>
    <definedName name="_____ADD1">#REF!</definedName>
    <definedName name="_____ADD2">#REF!</definedName>
    <definedName name="_____ADD3">#REF!</definedName>
    <definedName name="_____cpi02">#REF!</definedName>
    <definedName name="_____cpi59">#REF!</definedName>
    <definedName name="_____cpi60">#REF!</definedName>
    <definedName name="_____cpi61">#REF!</definedName>
    <definedName name="_____cpi62">#REF!</definedName>
    <definedName name="_____cpi63">#REF!</definedName>
    <definedName name="_____cpi64">#REF!</definedName>
    <definedName name="_____cpi65">#REF!</definedName>
    <definedName name="_____cpi66">#REF!</definedName>
    <definedName name="_____cpi67">#REF!</definedName>
    <definedName name="_____cpi68">#REF!</definedName>
    <definedName name="_____cpi69">#REF!</definedName>
    <definedName name="_____cpi70">#REF!</definedName>
    <definedName name="_____cpi71">#REF!</definedName>
    <definedName name="_____cpi72">#REF!</definedName>
    <definedName name="_____cpi73">#REF!</definedName>
    <definedName name="_____cpi74">#REF!</definedName>
    <definedName name="_____cpi75">#REF!</definedName>
    <definedName name="_____cpi76">#REF!</definedName>
    <definedName name="_____cpi77">#REF!</definedName>
    <definedName name="_____cpi78">#REF!</definedName>
    <definedName name="_____cpi79">#REF!</definedName>
    <definedName name="_____cpi80">#REF!</definedName>
    <definedName name="_____cpi81">#REF!</definedName>
    <definedName name="_____cpi82">#REF!</definedName>
    <definedName name="_____cpi83">#REF!</definedName>
    <definedName name="_____cpi84">#REF!</definedName>
    <definedName name="_____cpi85">#REF!</definedName>
    <definedName name="_____cpi86">#REF!</definedName>
    <definedName name="_____cpi87">#REF!</definedName>
    <definedName name="_____cpi88">#REF!</definedName>
    <definedName name="_____cpi89">#REF!</definedName>
    <definedName name="_____cpi90">#REF!</definedName>
    <definedName name="_____cpi91">#REF!</definedName>
    <definedName name="_____cpi92">#REF!</definedName>
    <definedName name="_____cpi93">#REF!</definedName>
    <definedName name="_____cpi94">#REF!</definedName>
    <definedName name="_____cpi95">#REF!</definedName>
    <definedName name="_____cpi96">#REF!</definedName>
    <definedName name="_____cpi97">#REF!</definedName>
    <definedName name="_____EXS1">#REF!</definedName>
    <definedName name="_____EXS2">#REF!</definedName>
    <definedName name="_____EXS3">#REF!</definedName>
    <definedName name="_____EXS4">#REF!</definedName>
    <definedName name="_____g1">CHOOSE(#REF!,MA,MB,[0]!MC,MD,ME,MF,[0]!MG,MH,MI,MJ,MK,ML,MN,MR,MS,MZ)</definedName>
    <definedName name="_____MLS1">#REF!</definedName>
    <definedName name="_____MLS2">#REF!</definedName>
    <definedName name="_____no2">#REF!</definedName>
    <definedName name="_____Phy1">[2]총괄표!$A$3:$AP$601</definedName>
    <definedName name="_____Phy2">#REF!</definedName>
    <definedName name="_____WRN011" hidden="1">{"P",#N/A,FALSE,"91.04開發申請"}</definedName>
    <definedName name="_____WRN115" hidden="1">{"開發表全部",#N/A,TRUE,"土開法"}</definedName>
    <definedName name="_____WRN20" hidden="1">{#N/A,#N/A,FALSE,"首頁";#N/A,#N/A,FALSE,"美國格式 ";#N/A,#N/A,FALSE,"市  調  案  例";#N/A,#N/A,FALSE,"鑑定表";#N/A,#N/A,FALSE,"建物鑑定表"}</definedName>
    <definedName name="_____WRN321" hidden="1">{#N/A,#N/A,FALSE,"首頁";#N/A,#N/A,FALSE,"美國格式 ";#N/A,#N/A,FALSE,"市  調  案  例";#N/A,#N/A,FALSE,"鑑定表";#N/A,#N/A,FALSE,"建物鑑定表"}</definedName>
    <definedName name="____ABO1">#REF!</definedName>
    <definedName name="____ADD1">#REF!</definedName>
    <definedName name="____ADD2">#REF!</definedName>
    <definedName name="____ADD3">#REF!</definedName>
    <definedName name="____cpi02">#REF!</definedName>
    <definedName name="____cpi59">#REF!</definedName>
    <definedName name="____cpi60">#REF!</definedName>
    <definedName name="____cpi61">#REF!</definedName>
    <definedName name="____cpi62">#REF!</definedName>
    <definedName name="____cpi63">#REF!</definedName>
    <definedName name="____cpi64">#REF!</definedName>
    <definedName name="____cpi65">#REF!</definedName>
    <definedName name="____cpi66">#REF!</definedName>
    <definedName name="____cpi67">#REF!</definedName>
    <definedName name="____cpi68">#REF!</definedName>
    <definedName name="____cpi69">#REF!</definedName>
    <definedName name="____cpi70">#REF!</definedName>
    <definedName name="____cpi71">#REF!</definedName>
    <definedName name="____cpi72">#REF!</definedName>
    <definedName name="____cpi73">#REF!</definedName>
    <definedName name="____cpi74">#REF!</definedName>
    <definedName name="____cpi75">#REF!</definedName>
    <definedName name="____cpi76">#REF!</definedName>
    <definedName name="____cpi77">#REF!</definedName>
    <definedName name="____cpi78">#REF!</definedName>
    <definedName name="____cpi79">#REF!</definedName>
    <definedName name="____cpi80">#REF!</definedName>
    <definedName name="____cpi81">#REF!</definedName>
    <definedName name="____cpi82">#REF!</definedName>
    <definedName name="____cpi83">#REF!</definedName>
    <definedName name="____cpi84">#REF!</definedName>
    <definedName name="____cpi85">#REF!</definedName>
    <definedName name="____cpi86">#REF!</definedName>
    <definedName name="____cpi87">#REF!</definedName>
    <definedName name="____cpi88">#REF!</definedName>
    <definedName name="____cpi89">#REF!</definedName>
    <definedName name="____cpi90">#REF!</definedName>
    <definedName name="____cpi91">#REF!</definedName>
    <definedName name="____cpi92">#REF!</definedName>
    <definedName name="____cpi93">#REF!</definedName>
    <definedName name="____cpi94">#REF!</definedName>
    <definedName name="____cpi95">#REF!</definedName>
    <definedName name="____cpi96">#REF!</definedName>
    <definedName name="____cpi97">#REF!</definedName>
    <definedName name="____EXS1">#REF!</definedName>
    <definedName name="____EXS2">#REF!</definedName>
    <definedName name="____EXS3">#REF!</definedName>
    <definedName name="____EXS4">#REF!</definedName>
    <definedName name="____g1">#N/A</definedName>
    <definedName name="____MLS1">#REF!</definedName>
    <definedName name="____MLS2">#REF!</definedName>
    <definedName name="____no2">#REF!</definedName>
    <definedName name="____Phy1">[2]총괄표!$A$3:$AP$601</definedName>
    <definedName name="____Phy2">#REF!</definedName>
    <definedName name="____WRN011" hidden="1">{"P",#N/A,FALSE,"91.04開發申請"}</definedName>
    <definedName name="____WRN115" hidden="1">{"開發表全部",#N/A,TRUE,"土開法"}</definedName>
    <definedName name="____WRN20" hidden="1">{#N/A,#N/A,FALSE,"首頁";#N/A,#N/A,FALSE,"美國格式 ";#N/A,#N/A,FALSE,"市  調  案  例";#N/A,#N/A,FALSE,"鑑定表";#N/A,#N/A,FALSE,"建物鑑定表"}</definedName>
    <definedName name="____WRN321" hidden="1">{#N/A,#N/A,FALSE,"首頁";#N/A,#N/A,FALSE,"美國格式 ";#N/A,#N/A,FALSE,"市  調  案  例";#N/A,#N/A,FALSE,"鑑定表";#N/A,#N/A,FALSE,"建物鑑定表"}</definedName>
    <definedName name="___ABO1">#REF!</definedName>
    <definedName name="___ADD1">#REF!</definedName>
    <definedName name="___ADD2">#REF!</definedName>
    <definedName name="___ADD3">#REF!</definedName>
    <definedName name="___cpi02">#REF!</definedName>
    <definedName name="___cpi59">#REF!</definedName>
    <definedName name="___cpi60">#REF!</definedName>
    <definedName name="___cpi61">#REF!</definedName>
    <definedName name="___cpi62">#REF!</definedName>
    <definedName name="___cpi63">#REF!</definedName>
    <definedName name="___cpi64">#REF!</definedName>
    <definedName name="___cpi65">#REF!</definedName>
    <definedName name="___cpi66">#REF!</definedName>
    <definedName name="___cpi67">#REF!</definedName>
    <definedName name="___cpi68">#REF!</definedName>
    <definedName name="___cpi69">#REF!</definedName>
    <definedName name="___cpi70">#REF!</definedName>
    <definedName name="___cpi71">#REF!</definedName>
    <definedName name="___cpi72">#REF!</definedName>
    <definedName name="___cpi73">#REF!</definedName>
    <definedName name="___cpi74">#REF!</definedName>
    <definedName name="___cpi75">#REF!</definedName>
    <definedName name="___cpi76">#REF!</definedName>
    <definedName name="___cpi77">#REF!</definedName>
    <definedName name="___cpi78">#REF!</definedName>
    <definedName name="___cpi79">#REF!</definedName>
    <definedName name="___cpi80">#REF!</definedName>
    <definedName name="___cpi81">#REF!</definedName>
    <definedName name="___cpi82">#REF!</definedName>
    <definedName name="___cpi83">#REF!</definedName>
    <definedName name="___cpi84">#REF!</definedName>
    <definedName name="___cpi85">#REF!</definedName>
    <definedName name="___cpi86">#REF!</definedName>
    <definedName name="___cpi87">#REF!</definedName>
    <definedName name="___cpi88">#REF!</definedName>
    <definedName name="___cpi89">#REF!</definedName>
    <definedName name="___cpi90">#REF!</definedName>
    <definedName name="___cpi91">#REF!</definedName>
    <definedName name="___cpi92">#REF!</definedName>
    <definedName name="___cpi93">#REF!</definedName>
    <definedName name="___cpi94">#REF!</definedName>
    <definedName name="___cpi95">#REF!</definedName>
    <definedName name="___cpi96">#REF!</definedName>
    <definedName name="___cpi97">#REF!</definedName>
    <definedName name="___EXS1">#REF!</definedName>
    <definedName name="___EXS2">#REF!</definedName>
    <definedName name="___EXS3">#REF!</definedName>
    <definedName name="___EXS4">#REF!</definedName>
    <definedName name="___MLS1">#REF!</definedName>
    <definedName name="___MLS2">#REF!</definedName>
    <definedName name="___no2">#REF!</definedName>
    <definedName name="___Phy1">[2]총괄표!$A$3:$AP$601</definedName>
    <definedName name="___Phy2">#REF!</definedName>
    <definedName name="___WRN011" hidden="1">{"P",#N/A,FALSE,"91.04開發申請"}</definedName>
    <definedName name="___WRN115" hidden="1">{"開發表全部",#N/A,TRUE,"土開法"}</definedName>
    <definedName name="___WRN20" hidden="1">{#N/A,#N/A,FALSE,"首頁";#N/A,#N/A,FALSE,"美國格式 ";#N/A,#N/A,FALSE,"市  調  案  例";#N/A,#N/A,FALSE,"鑑定表";#N/A,#N/A,FALSE,"建物鑑定表"}</definedName>
    <definedName name="___WRN321" hidden="1">{#N/A,#N/A,FALSE,"首頁";#N/A,#N/A,FALSE,"美國格式 ";#N/A,#N/A,FALSE,"市  調  案  例";#N/A,#N/A,FALSE,"鑑定表";#N/A,#N/A,FALSE,"建物鑑定表"}</definedName>
    <definedName name="__1__123Graph_B圖表_1" hidden="1">#REF!</definedName>
    <definedName name="__123Graph_AGRAPH_01" hidden="1">#REF!</definedName>
    <definedName name="__123Graph_AGRAPH_02" hidden="1">#REF!</definedName>
    <definedName name="__123Graph_AGRAPH_03" hidden="1">#REF!</definedName>
    <definedName name="__123Graph_AGRAPH_04" hidden="1">#REF!</definedName>
    <definedName name="__123Graph_DGRAPH_01" hidden="1">#REF!</definedName>
    <definedName name="__123Graph_DGRAPH_02" hidden="1">#REF!</definedName>
    <definedName name="__123Graph_DGRAPH_03" hidden="1">#REF!</definedName>
    <definedName name="__123Graph_DGRAPH_04" hidden="1">#REF!</definedName>
    <definedName name="__123Graph_EGRAPH_01" hidden="1">#REF!</definedName>
    <definedName name="__123Graph_EGRAPH_02" hidden="1">#REF!</definedName>
    <definedName name="__123Graph_EGRAPH_03" hidden="1">#REF!</definedName>
    <definedName name="__123Graph_EGRAPH_04" hidden="1">#REF!</definedName>
    <definedName name="__123Graph_XGRAPH_01" hidden="1">#REF!</definedName>
    <definedName name="__123Graph_XGRAPH_02" hidden="1">#REF!</definedName>
    <definedName name="__123Graph_XGRAPH_03" hidden="1">#REF!</definedName>
    <definedName name="__123Graph_XGRAPH_04" hidden="1">#REF!</definedName>
    <definedName name="__2__123Graph_X圖表_1" hidden="1">#REF!</definedName>
    <definedName name="__4g1_">CHOOSE(#REF!,MA,MB,[0]!MC,MD,ME,MF,[0]!MG,MH,MI,MJ,MK,ML,MN,MR,MS,MZ)</definedName>
    <definedName name="__a18100">#REF!</definedName>
    <definedName name="__a18900">#REF!</definedName>
    <definedName name="__a21200">#REF!</definedName>
    <definedName name="__a24400">#REF!</definedName>
    <definedName name="__a25200">#REF!</definedName>
    <definedName name="__a26100">#REF!</definedName>
    <definedName name="__a29200">#REF!</definedName>
    <definedName name="__ABO1">#REF!</definedName>
    <definedName name="__ADD1">#REF!</definedName>
    <definedName name="__ADD2">#REF!</definedName>
    <definedName name="__ADD3">#REF!</definedName>
    <definedName name="__CCI1">[3]Sensitivities!$J$67</definedName>
    <definedName name="__CCI2">[3]Sensitivities!$K$67</definedName>
    <definedName name="__CCI3">[3]Sensitivities!$I$67</definedName>
    <definedName name="__cpi02">#REF!</definedName>
    <definedName name="__cpi59">#REF!</definedName>
    <definedName name="__cpi60">#REF!</definedName>
    <definedName name="__cpi61">#REF!</definedName>
    <definedName name="__cpi62">#REF!</definedName>
    <definedName name="__cpi63">#REF!</definedName>
    <definedName name="__cpi64">#REF!</definedName>
    <definedName name="__cpi65">#REF!</definedName>
    <definedName name="__cpi66">#REF!</definedName>
    <definedName name="__cpi67">#REF!</definedName>
    <definedName name="__cpi68">#REF!</definedName>
    <definedName name="__cpi69">#REF!</definedName>
    <definedName name="__cpi70">#REF!</definedName>
    <definedName name="__cpi71">#REF!</definedName>
    <definedName name="__cpi72">#REF!</definedName>
    <definedName name="__cpi73">#REF!</definedName>
    <definedName name="__cpi74">#REF!</definedName>
    <definedName name="__cpi75">#REF!</definedName>
    <definedName name="__cpi76">#REF!</definedName>
    <definedName name="__cpi77">#REF!</definedName>
    <definedName name="__cpi78">#REF!</definedName>
    <definedName name="__cpi79">#REF!</definedName>
    <definedName name="__cpi80">#REF!</definedName>
    <definedName name="__cpi81">#REF!</definedName>
    <definedName name="__cpi82">#REF!</definedName>
    <definedName name="__cpi83">#REF!</definedName>
    <definedName name="__cpi84">#REF!</definedName>
    <definedName name="__cpi85">#REF!</definedName>
    <definedName name="__cpi86">#REF!</definedName>
    <definedName name="__cpi87">#REF!</definedName>
    <definedName name="__cpi88">#REF!</definedName>
    <definedName name="__cpi89">#REF!</definedName>
    <definedName name="__cpi90">#REF!</definedName>
    <definedName name="__cpi91">#REF!</definedName>
    <definedName name="__cpi92">#REF!</definedName>
    <definedName name="__cpi93">#REF!</definedName>
    <definedName name="__cpi94">#REF!</definedName>
    <definedName name="__cpi95">#REF!</definedName>
    <definedName name="__cpi96">#REF!</definedName>
    <definedName name="__cpi97">#REF!</definedName>
    <definedName name="__EXS1">#REF!</definedName>
    <definedName name="__EXS2">#REF!</definedName>
    <definedName name="__EXS3">#REF!</definedName>
    <definedName name="__EXS4">#REF!</definedName>
    <definedName name="__g1">CHOOSE(#REF!,MA,MB,[0]!MC,MD,ME,MF,[0]!MG,MH,MI,MJ,MK,ML,MN,MR,MS,MZ)</definedName>
    <definedName name="__i3">#REF!</definedName>
    <definedName name="__MLS1">#REF!</definedName>
    <definedName name="__MLS2">#REF!</definedName>
    <definedName name="__MPG1">[3]Sensitivities!$J$69</definedName>
    <definedName name="__MPG2">[3]Sensitivities!$K$69</definedName>
    <definedName name="__MPG3">[3]Sensitivities!$I$69</definedName>
    <definedName name="__no2">#REF!</definedName>
    <definedName name="__Phy1">[2]총괄표!$A$3:$AP$601</definedName>
    <definedName name="__Phy2">#REF!</definedName>
    <definedName name="__RCP1200">[4]單價分析!#REF!</definedName>
    <definedName name="__RCP600">[4]單價分析!#REF!</definedName>
    <definedName name="__RCP900">[4]單價分析!#REF!</definedName>
    <definedName name="__SPG1">[3]Sensitivities!$J$44</definedName>
    <definedName name="__SPG2">[3]Sensitivities!$K$44</definedName>
    <definedName name="__SPG3">[3]Sensitivities!$I$44</definedName>
    <definedName name="__SS2">#REF!</definedName>
    <definedName name="__TG1">[3]Sensitivities!$J$26</definedName>
    <definedName name="__TG2">[3]Sensitivities!$K$26</definedName>
    <definedName name="__TG3">[3]Sensitivities!$I$26</definedName>
    <definedName name="__TPM1">[3]Sensitivities!$J$71</definedName>
    <definedName name="__TPM2">[3]Sensitivities!$K$71</definedName>
    <definedName name="__TPM3">[3]Sensitivities!$I$71</definedName>
    <definedName name="__VG1">[3]Sensitivities!$J$49</definedName>
    <definedName name="__VG2">[3]Sensitivities!$K$49</definedName>
    <definedName name="__VG3">[3]Sensitivities!$I$49</definedName>
    <definedName name="__VGL1">[3]Sensitivities!$J$50:$J$52</definedName>
    <definedName name="__VGL2">[3]Sensitivities!$K$50:$K$52</definedName>
    <definedName name="__VGL3">[3]Sensitivities!$I$50:$I$52</definedName>
    <definedName name="__WG1">[3]Sensitivities!$J$29:$J$33</definedName>
    <definedName name="__WG2">[3]Sensitivities!$K$29:$K$33</definedName>
    <definedName name="__WG3">[3]Sensitivities!$I$29:$I$33</definedName>
    <definedName name="__WRN011" hidden="1">{"P",#N/A,FALSE,"91.04開發申請"}</definedName>
    <definedName name="__WRN115" hidden="1">{"開發表全部",#N/A,TRUE,"土開法"}</definedName>
    <definedName name="__WRN20" hidden="1">{#N/A,#N/A,FALSE,"首頁";#N/A,#N/A,FALSE,"美國格式 ";#N/A,#N/A,FALSE,"市  調  案  例";#N/A,#N/A,FALSE,"鑑定表";#N/A,#N/A,FALSE,"建物鑑定表"}</definedName>
    <definedName name="__WRN321" hidden="1">{#N/A,#N/A,FALSE,"首頁";#N/A,#N/A,FALSE,"美國格式 ";#N/A,#N/A,FALSE,"市  調  案  例";#N/A,#N/A,FALSE,"鑑定表";#N/A,#N/A,FALSE,"建物鑑定表"}</definedName>
    <definedName name="_1">#REF!</definedName>
    <definedName name="_1__123Graph_B圖表_1" hidden="1">#REF!</definedName>
    <definedName name="_1_ROW">#REF!</definedName>
    <definedName name="_1067">#N/A</definedName>
    <definedName name="_11">#N/A</definedName>
    <definedName name="_11.1">#N/A</definedName>
    <definedName name="_11.2">#N/A</definedName>
    <definedName name="_12.1">#N/A</definedName>
    <definedName name="_12.2">#N/A</definedName>
    <definedName name="_13.1">#N/A</definedName>
    <definedName name="_13.2">#N/A</definedName>
    <definedName name="_140kg_cm2預拌混凝土及澆置">#REF!</definedName>
    <definedName name="_17.1">#N/A</definedName>
    <definedName name="_17.2">#N/A</definedName>
    <definedName name="_175kg_cm2預拌混凝土及澆置">#REF!</definedName>
    <definedName name="_18.1">#N/A</definedName>
    <definedName name="_18.2">#N/A</definedName>
    <definedName name="_1g1_">#N/A</definedName>
    <definedName name="_2">#REF!</definedName>
    <definedName name="_2__123Graph_X圖表_1" hidden="1">#REF!</definedName>
    <definedName name="_2_ROW">#REF!</definedName>
    <definedName name="_210kg_cm2預拌混凝土及澆置">#REF!</definedName>
    <definedName name="_22">#N/A</definedName>
    <definedName name="_22.1">#N/A</definedName>
    <definedName name="_22.2">#N/A</definedName>
    <definedName name="_245kg_cm2預拌混凝土及澆置">#REF!</definedName>
    <definedName name="_280kg_cm2預拌混凝土及澆置">#REF!</definedName>
    <definedName name="_3__123Graph_B圖表_1" hidden="1">#REF!</definedName>
    <definedName name="_3_ROW">#REF!</definedName>
    <definedName name="_38">#REF!</definedName>
    <definedName name="_4_ROW">#REF!</definedName>
    <definedName name="_41.1">#N/A</definedName>
    <definedName name="_41.2">#N/A</definedName>
    <definedName name="_4g1_">#N/A</definedName>
    <definedName name="_5_ROW">#REF!</definedName>
    <definedName name="_50.1">#N/A</definedName>
    <definedName name="_50.2">#N/A</definedName>
    <definedName name="_51.1">#N/A</definedName>
    <definedName name="_51.2">#N/A</definedName>
    <definedName name="_57.1">#N/A</definedName>
    <definedName name="_58">#N/A</definedName>
    <definedName name="_6__123Graph_X圖表_1" hidden="1">#REF!</definedName>
    <definedName name="_6_ROW">#REF!</definedName>
    <definedName name="_67">#N/A</definedName>
    <definedName name="_7i3_">#REF!</definedName>
    <definedName name="_8.1">#N/A</definedName>
    <definedName name="_8.2">#N/A</definedName>
    <definedName name="_80cm連續壁施工費_L_35">[5]單價分析!#REF!</definedName>
    <definedName name="_a18100">#REF!</definedName>
    <definedName name="_a18900">#REF!</definedName>
    <definedName name="_a21200">#REF!</definedName>
    <definedName name="_a24400">#REF!</definedName>
    <definedName name="_a25200">#REF!</definedName>
    <definedName name="_a26100">#REF!</definedName>
    <definedName name="_a29200">#REF!</definedName>
    <definedName name="_ABO1">#REF!</definedName>
    <definedName name="_ADD1">#REF!</definedName>
    <definedName name="_ADD2">#REF!</definedName>
    <definedName name="_ADD3">#REF!</definedName>
    <definedName name="_C2F">#REF!</definedName>
    <definedName name="_C3F">#REF!</definedName>
    <definedName name="_CCI1">[3]Sensitivities!$J$67</definedName>
    <definedName name="_CCI2">[3]Sensitivities!$K$67</definedName>
    <definedName name="_CCI3">[3]Sensitivities!$I$67</definedName>
    <definedName name="_cpi02">#REF!</definedName>
    <definedName name="_cpi59">#REF!</definedName>
    <definedName name="_cpi60">#REF!</definedName>
    <definedName name="_cpi61">#REF!</definedName>
    <definedName name="_cpi62">#REF!</definedName>
    <definedName name="_cpi63">#REF!</definedName>
    <definedName name="_cpi64">#REF!</definedName>
    <definedName name="_cpi65">#REF!</definedName>
    <definedName name="_cpi66">#REF!</definedName>
    <definedName name="_cpi67">#REF!</definedName>
    <definedName name="_cpi68">#REF!</definedName>
    <definedName name="_cpi69">#REF!</definedName>
    <definedName name="_cpi70">#REF!</definedName>
    <definedName name="_cpi71">#REF!</definedName>
    <definedName name="_cpi72">#REF!</definedName>
    <definedName name="_cpi73">#REF!</definedName>
    <definedName name="_cpi74">#REF!</definedName>
    <definedName name="_cpi75">#REF!</definedName>
    <definedName name="_cpi76">#REF!</definedName>
    <definedName name="_cpi77">#REF!</definedName>
    <definedName name="_cpi78">#REF!</definedName>
    <definedName name="_cpi79">#REF!</definedName>
    <definedName name="_cpi80">#REF!</definedName>
    <definedName name="_cpi81">#REF!</definedName>
    <definedName name="_cpi82">#REF!</definedName>
    <definedName name="_cpi83">#REF!</definedName>
    <definedName name="_cpi84">#REF!</definedName>
    <definedName name="_cpi85">#REF!</definedName>
    <definedName name="_cpi86">#REF!</definedName>
    <definedName name="_cpi87">#REF!</definedName>
    <definedName name="_cpi88">#REF!</definedName>
    <definedName name="_cpi89">#REF!</definedName>
    <definedName name="_cpi90">#REF!</definedName>
    <definedName name="_cpi91">#REF!</definedName>
    <definedName name="_cpi92">#REF!</definedName>
    <definedName name="_cpi93">#REF!</definedName>
    <definedName name="_cpi94">#REF!</definedName>
    <definedName name="_cpi95">#REF!</definedName>
    <definedName name="_cpi96">#REF!</definedName>
    <definedName name="_cpi97">#REF!</definedName>
    <definedName name="_Dist_Bin" localSheetId="2" hidden="1">#REF!</definedName>
    <definedName name="_Dist_Bin" hidden="1">#REF!</definedName>
    <definedName name="_Dist_Values" localSheetId="2" hidden="1">#REF!</definedName>
    <definedName name="_Dist_Values" hidden="1">#REF!</definedName>
    <definedName name="_EXS1">#REF!</definedName>
    <definedName name="_EXS2">#REF!</definedName>
    <definedName name="_EXS3">#REF!</definedName>
    <definedName name="_EXS4">#REF!</definedName>
    <definedName name="_Fill" localSheetId="2" hidden="1">#REF!</definedName>
    <definedName name="_Fill" localSheetId="3" hidden="1">#REF!</definedName>
    <definedName name="_Fill" hidden="1">#REF!</definedName>
    <definedName name="_g1">CHOOSE(#REF!,MA,MB,[0]!MC,MD,ME,MF,[0]!MG,MH,MI,MJ,MK,ML,MN,MR,MS,MZ)</definedName>
    <definedName name="_i3">#REF!</definedName>
    <definedName name="_Key1" hidden="1">'[1]SRC-B3U2'!#REF!</definedName>
    <definedName name="_MLS1">#REF!</definedName>
    <definedName name="_MLS2">#REF!</definedName>
    <definedName name="_MPG1">[3]Sensitivities!$J$69</definedName>
    <definedName name="_MPG2">[3]Sensitivities!$K$69</definedName>
    <definedName name="_MPG3">[3]Sensitivities!$I$69</definedName>
    <definedName name="_no2">#REF!</definedName>
    <definedName name="_Order1" hidden="1">255</definedName>
    <definedName name="_Order2" hidden="1">255</definedName>
    <definedName name="_Parse_Out" hidden="1">'[6]LD_全-2.25'!#REF!</definedName>
    <definedName name="_Phy1">[2]총괄표!$A$3:$AP$601</definedName>
    <definedName name="_Phy2">#REF!</definedName>
    <definedName name="_RCP1200">[4]單價分析!#REF!</definedName>
    <definedName name="_RCP600">[4]單價分析!#REF!</definedName>
    <definedName name="_RCP900">[4]單價分析!#REF!</definedName>
    <definedName name="_SPG1">[3]Sensitivities!$J$44</definedName>
    <definedName name="_SPG2">[3]Sensitivities!$K$44</definedName>
    <definedName name="_SPG3">[3]Sensitivities!$I$44</definedName>
    <definedName name="_SS2">#REF!</definedName>
    <definedName name="_Table1_In1" localSheetId="2" hidden="1">#REF!</definedName>
    <definedName name="_Table1_In1" hidden="1">#REF!</definedName>
    <definedName name="_Table1_In2" localSheetId="2" hidden="1">#REF!</definedName>
    <definedName name="_Table1_In2" hidden="1">#REF!</definedName>
    <definedName name="_Table1_Out" localSheetId="2" hidden="1">#REF!</definedName>
    <definedName name="_Table1_Out" hidden="1">#REF!</definedName>
    <definedName name="_TG1">[3]Sensitivities!$J$26</definedName>
    <definedName name="_TG2">[3]Sensitivities!$K$26</definedName>
    <definedName name="_TG3">[3]Sensitivities!$I$26</definedName>
    <definedName name="_TPM1">[3]Sensitivities!$J$71</definedName>
    <definedName name="_TPM2">[3]Sensitivities!$K$71</definedName>
    <definedName name="_TPM3">[3]Sensitivities!$I$71</definedName>
    <definedName name="_VG1">[3]Sensitivities!$J$49</definedName>
    <definedName name="_VG2">[3]Sensitivities!$K$49</definedName>
    <definedName name="_VG3">[3]Sensitivities!$I$49</definedName>
    <definedName name="_VGL1">[3]Sensitivities!$J$50:$J$52</definedName>
    <definedName name="_VGL2">[3]Sensitivities!$K$50:$K$52</definedName>
    <definedName name="_VGL3">[3]Sensitivities!$I$50:$I$52</definedName>
    <definedName name="_WG1">[3]Sensitivities!$J$29:$J$33</definedName>
    <definedName name="_WG2">[3]Sensitivities!$K$29:$K$33</definedName>
    <definedName name="_WG3">[3]Sensitivities!$I$29:$I$33</definedName>
    <definedName name="_WRN011" hidden="1">{"P",#N/A,FALSE,"91.04開發申請"}</definedName>
    <definedName name="_WRN115" hidden="1">{"開發表全部",#N/A,TRUE,"土開法"}</definedName>
    <definedName name="_WRN20" hidden="1">{#N/A,#N/A,FALSE,"首頁";#N/A,#N/A,FALSE,"美國格式 ";#N/A,#N/A,FALSE,"市  調  案  例";#N/A,#N/A,FALSE,"鑑定表";#N/A,#N/A,FALSE,"建物鑑定表"}</definedName>
    <definedName name="_WRN321" hidden="1">{#N/A,#N/A,FALSE,"首頁";#N/A,#N/A,FALSE,"美國格式 ";#N/A,#N/A,FALSE,"市  調  案  例";#N/A,#N/A,FALSE,"鑑定表";#N/A,#N/A,FALSE,"建物鑑定表"}</definedName>
    <definedName name="∮10cm鄰房補強微型椿_L_10M">[5]單價分析!#REF!</definedName>
    <definedName name="A" localSheetId="2">#REF!</definedName>
    <definedName name="A">#REF!</definedName>
    <definedName name="a16300_">#REF!</definedName>
    <definedName name="Aa" localSheetId="2">#REF!</definedName>
    <definedName name="Aa">#REF!</definedName>
    <definedName name="aaa">[7]外15薪基84!#REF!</definedName>
    <definedName name="aaaa" localSheetId="2">#REF!</definedName>
    <definedName name="aaaa">#REF!</definedName>
    <definedName name="AAAAAAAAA">#REF!</definedName>
    <definedName name="aas">#REF!</definedName>
    <definedName name="Ab" localSheetId="2">#REF!</definedName>
    <definedName name="Ab">#REF!</definedName>
    <definedName name="ABC">#REF!</definedName>
    <definedName name="ACCOUSTIC">#REF!</definedName>
    <definedName name="acid1">#REF!</definedName>
    <definedName name="acid2">#REF!</definedName>
    <definedName name="acid3">#REF!</definedName>
    <definedName name="acid4">#REF!</definedName>
    <definedName name="acid5">#REF!</definedName>
    <definedName name="acquire_price">[8]Expense!$B$4</definedName>
    <definedName name="actual_cof">#REF!</definedName>
    <definedName name="AD1C">[9]計算檢核!$K$44</definedName>
    <definedName name="AD1C01">[9]計算檢核!$K$15</definedName>
    <definedName name="AD1C02">[9]計算檢核!$K$16</definedName>
    <definedName name="AD1C03">[9]計算檢核!$K$17</definedName>
    <definedName name="AD1C04">[9]計算檢核!$K$18</definedName>
    <definedName name="AD1C05">[9]計算檢核!$K$19</definedName>
    <definedName name="AD1C06">[9]計算檢核!$K$20</definedName>
    <definedName name="AD1C07">[9]計算檢核!$K$21</definedName>
    <definedName name="AD1C08">[9]計算檢核!$K$22</definedName>
    <definedName name="AD1C09">[9]計算檢核!$K$23</definedName>
    <definedName name="AD1C10">[9]計算檢核!$K$24</definedName>
    <definedName name="AD1C11">[9]計算檢核!$K$25</definedName>
    <definedName name="AD1C12">[9]計算檢核!$K$26</definedName>
    <definedName name="AD1C13">[9]計算檢核!$K$27</definedName>
    <definedName name="AD1C14">[9]計算檢核!$K$28</definedName>
    <definedName name="AD1C15">[9]計算檢核!$K$29</definedName>
    <definedName name="AD1C16">[9]計算檢核!$K$30</definedName>
    <definedName name="AD1C17">[9]計算檢核!$K$31</definedName>
    <definedName name="AD1C18">[9]計算檢核!$K$32</definedName>
    <definedName name="AD1C19">[9]計算檢核!$K$33</definedName>
    <definedName name="AD1C20">[9]計算檢核!$K$34</definedName>
    <definedName name="AD1C21">[9]計算檢核!$K$35</definedName>
    <definedName name="AD1C22">[9]計算檢核!$K$36</definedName>
    <definedName name="AD1C23">[9]計算檢核!$K$37</definedName>
    <definedName name="AD1C24">[9]計算檢核!$K$38</definedName>
    <definedName name="AD1C25">[9]計算檢核!$K$39</definedName>
    <definedName name="AD1C26">[9]計算檢核!$K$40</definedName>
    <definedName name="AD1C27">[9]計算檢核!$K$41</definedName>
    <definedName name="AD1C28">[9]計算檢核!$K$42</definedName>
    <definedName name="AD1C29">[9]計算檢核!$K$43</definedName>
    <definedName name="AD1D">[9]計算檢核!$K$89</definedName>
    <definedName name="AD1D01">[9]計算檢核!$K$45</definedName>
    <definedName name="AD1D02">[9]計算檢核!$K$46</definedName>
    <definedName name="AD1D03">[9]計算檢核!$K$47</definedName>
    <definedName name="AD1D04">[9]計算檢核!$K$48</definedName>
    <definedName name="AD1D05">[9]計算檢核!$K$49</definedName>
    <definedName name="AD1D06">[9]計算檢核!$K$50</definedName>
    <definedName name="AD1D07">[9]計算檢核!$K$51</definedName>
    <definedName name="AD1D08">[9]計算檢核!$K$52</definedName>
    <definedName name="AD1D09">[9]計算檢核!$K$53</definedName>
    <definedName name="AD1D10">[9]計算檢核!$K$54</definedName>
    <definedName name="AD1D11">[9]計算檢核!$K$55</definedName>
    <definedName name="AD1D12">[9]計算檢核!$K$56</definedName>
    <definedName name="AD1D13">[9]計算檢核!$K$57</definedName>
    <definedName name="AD1D14">[9]計算檢核!$K$58</definedName>
    <definedName name="AD1D15">[9]計算檢核!$K$59</definedName>
    <definedName name="AD1D16">[9]計算檢核!$K$60</definedName>
    <definedName name="AD1D17">[9]計算檢核!$K$61</definedName>
    <definedName name="AD1D18">[9]計算檢核!$K$62</definedName>
    <definedName name="AD1D19">[9]計算檢核!$K$63</definedName>
    <definedName name="AD1D20">[9]計算檢核!$K$64</definedName>
    <definedName name="AD1D21">[9]計算檢核!$K$65</definedName>
    <definedName name="AD1D22">[9]計算檢核!$K$66</definedName>
    <definedName name="AD1D23">[9]計算檢核!$K$67</definedName>
    <definedName name="AD1D24">[9]計算檢核!$K$68</definedName>
    <definedName name="AD1D25">[9]計算檢核!$K$69</definedName>
    <definedName name="AD1D26">[9]計算檢核!$K$70</definedName>
    <definedName name="AD1D27">[9]計算檢核!$K$71</definedName>
    <definedName name="AD1D28">[9]計算檢核!$K$72</definedName>
    <definedName name="AD1D29">[9]計算檢核!$K$73</definedName>
    <definedName name="AD1D30">[9]計算檢核!$K$74</definedName>
    <definedName name="AD1D31">[9]計算檢核!$K$75</definedName>
    <definedName name="AD1D32">[9]計算檢核!$K$76</definedName>
    <definedName name="AD1D33">[9]計算檢核!$K$77</definedName>
    <definedName name="AD1D34">[9]計算檢核!$K$78</definedName>
    <definedName name="AD1D35">[9]計算檢核!$K$79</definedName>
    <definedName name="AD1D36">[9]計算檢核!$K$80</definedName>
    <definedName name="AD1D37">[9]計算檢核!$K$81</definedName>
    <definedName name="AD1D38">[9]計算檢核!$K$82</definedName>
    <definedName name="AD1D39">[9]計算檢核!$K$83</definedName>
    <definedName name="AD1D40">[9]計算檢核!$K$84</definedName>
    <definedName name="AD1D41">[9]計算檢核!$K$85</definedName>
    <definedName name="AD1D42">[9]計算檢核!$K$86</definedName>
    <definedName name="AD1D43">[9]計算檢核!$K$87</definedName>
    <definedName name="AD1D44">[9]計算檢核!$K$88</definedName>
    <definedName name="AD1F">[9]計算檢核!$G$90</definedName>
    <definedName name="AD1G">[9]計算檢核!$G$91</definedName>
    <definedName name="AD1H">[9]計算檢核!$G$92</definedName>
    <definedName name="AD2C">[9]計算檢核!$P$44</definedName>
    <definedName name="AD2C01">[9]計算檢核!$P$15</definedName>
    <definedName name="AD2C02">[9]計算檢核!$P$16</definedName>
    <definedName name="AD2C03">[9]計算檢核!$P$17</definedName>
    <definedName name="AD2C04">[9]計算檢核!$P$18</definedName>
    <definedName name="AD2C05">[9]計算檢核!$P$19</definedName>
    <definedName name="AD2C06">[9]計算檢核!$P$20</definedName>
    <definedName name="AD2C07">[9]計算檢核!$P$21</definedName>
    <definedName name="AD2C08">[9]計算檢核!$P$22</definedName>
    <definedName name="AD2C09">[9]計算檢核!$P$23</definedName>
    <definedName name="AD2C10">[9]計算檢核!$P$24</definedName>
    <definedName name="AD2C11">[9]計算檢核!$P$25</definedName>
    <definedName name="AD2C12">[9]計算檢核!$P$26</definedName>
    <definedName name="AD2C13">[9]計算檢核!$P$27</definedName>
    <definedName name="AD2C14">[9]計算檢核!$P$28</definedName>
    <definedName name="AD2C15">[9]計算檢核!$P$29</definedName>
    <definedName name="AD2C16">[9]計算檢核!$P$30</definedName>
    <definedName name="AD2C17">[9]計算檢核!$P$31</definedName>
    <definedName name="AD2C18">[9]計算檢核!$P$32</definedName>
    <definedName name="AD2C19">[9]計算檢核!$P$33</definedName>
    <definedName name="AD2C20">[9]計算檢核!$P$34</definedName>
    <definedName name="AD2C21">[9]計算檢核!$P$35</definedName>
    <definedName name="AD2C22">[9]計算檢核!$P$36</definedName>
    <definedName name="AD2C23">[9]計算檢核!$P$37</definedName>
    <definedName name="AD2C24">[9]計算檢核!$P$38</definedName>
    <definedName name="AD2C25">[9]計算檢核!$P$39</definedName>
    <definedName name="AD2C26">[9]計算檢核!$P$40</definedName>
    <definedName name="AD2C27">[9]計算檢核!$P$41</definedName>
    <definedName name="AD2C28">[9]計算檢核!$P$42</definedName>
    <definedName name="AD2C29">[9]計算檢核!$P$43</definedName>
    <definedName name="AD2D">[9]計算檢核!$P$89</definedName>
    <definedName name="AD2D01">[9]計算檢核!$P$45</definedName>
    <definedName name="AD2D02">[9]計算檢核!$P$46</definedName>
    <definedName name="AD2D03">[9]計算檢核!$P$47</definedName>
    <definedName name="AD2D04">[9]計算檢核!$P$48</definedName>
    <definedName name="AD2D05">[9]計算檢核!$P$49</definedName>
    <definedName name="AD2D06">[9]計算檢核!$P$50</definedName>
    <definedName name="AD2D07">[9]計算檢核!$P$51</definedName>
    <definedName name="AD2D08">[9]計算檢核!$P$52</definedName>
    <definedName name="AD2D09">[9]計算檢核!$P$53</definedName>
    <definedName name="AD2D10">[9]計算檢核!$P$54</definedName>
    <definedName name="AD2D11">[9]計算檢核!$P$55</definedName>
    <definedName name="AD2D12">[9]計算檢核!$P$56</definedName>
    <definedName name="AD2D13">[9]計算檢核!$P$57</definedName>
    <definedName name="AD2D14">[9]計算檢核!$P$58</definedName>
    <definedName name="AD2D15">[9]計算檢核!$P$59</definedName>
    <definedName name="AD2D16">[9]計算檢核!$P$60</definedName>
    <definedName name="AD2D17">[9]計算檢核!$P$61</definedName>
    <definedName name="AD2D18">[9]計算檢核!$P$62</definedName>
    <definedName name="AD2D19">[9]計算檢核!$P$63</definedName>
    <definedName name="AD2D20">[9]計算檢核!$P$64</definedName>
    <definedName name="AD2D21">[9]計算檢核!$P$65</definedName>
    <definedName name="AD2D22">[9]計算檢核!$P$66</definedName>
    <definedName name="AD2D23">[9]計算檢核!$P$67</definedName>
    <definedName name="AD2D24">[9]計算檢核!$P$68</definedName>
    <definedName name="AD2D25">[9]計算檢核!$P$69</definedName>
    <definedName name="AD2D26">[9]計算檢核!$P$70</definedName>
    <definedName name="AD2D27">[9]計算檢核!$P$71</definedName>
    <definedName name="AD2D28">[9]計算檢核!$P$72</definedName>
    <definedName name="AD2D29">[9]計算檢核!$P$73</definedName>
    <definedName name="AD2D30">[9]計算檢核!$P$74</definedName>
    <definedName name="AD2D31">[9]計算檢核!$P$75</definedName>
    <definedName name="AD2D32">[9]計算檢核!$P$76</definedName>
    <definedName name="AD2D33">[9]計算檢核!$P$77</definedName>
    <definedName name="AD2D34">[9]計算檢核!$P$78</definedName>
    <definedName name="AD2D35">[9]計算檢核!$P$79</definedName>
    <definedName name="AD2D36">[9]計算檢核!$P$80</definedName>
    <definedName name="AD2D37">[9]計算檢核!$P$81</definedName>
    <definedName name="AD2D38">[9]計算檢核!$P$82</definedName>
    <definedName name="AD2D39">[9]計算檢核!$P$83</definedName>
    <definedName name="AD2D40">[9]計算檢核!$P$84</definedName>
    <definedName name="AD2D41">[9]計算檢核!$P$85</definedName>
    <definedName name="AD2D42">[9]計算檢核!$P$86</definedName>
    <definedName name="AD2D43">[9]計算檢核!$P$87</definedName>
    <definedName name="AD2D44">[9]計算檢核!$P$88</definedName>
    <definedName name="AD2F">[9]計算檢核!$L$90</definedName>
    <definedName name="AD2G">[9]計算檢核!$L$91</definedName>
    <definedName name="AD2H">[9]計算檢核!$L$92</definedName>
    <definedName name="AD3C">[9]計算檢核!$U$44</definedName>
    <definedName name="AD3C01">[9]計算檢核!$U$15</definedName>
    <definedName name="AD3C02">[9]計算檢核!$U$16</definedName>
    <definedName name="AD3C03">[9]計算檢核!$U$17</definedName>
    <definedName name="AD3C04">[9]計算檢核!$U$18</definedName>
    <definedName name="AD3C05">[9]計算檢核!$U$19</definedName>
    <definedName name="AD3C06">[9]計算檢核!$U$20</definedName>
    <definedName name="AD3C07">[9]計算檢核!$U$21</definedName>
    <definedName name="AD3C08">[9]計算檢核!$U$22</definedName>
    <definedName name="AD3C09">[9]計算檢核!$U$23</definedName>
    <definedName name="AD3C10">[9]計算檢核!$U$24</definedName>
    <definedName name="AD3C11">[9]計算檢核!$U$25</definedName>
    <definedName name="AD3C12">[9]計算檢核!$U$26</definedName>
    <definedName name="AD3C13">[9]計算檢核!$U$27</definedName>
    <definedName name="AD3C14">[9]計算檢核!$U$28</definedName>
    <definedName name="AD3C15">[9]計算檢核!$U$29</definedName>
    <definedName name="AD3C16">[9]計算檢核!$U$30</definedName>
    <definedName name="AD3C17">[9]計算檢核!$U$31</definedName>
    <definedName name="AD3C18">[9]計算檢核!$U$32</definedName>
    <definedName name="AD3C19">[9]計算檢核!$U$33</definedName>
    <definedName name="AD3C20">[9]計算檢核!$U$34</definedName>
    <definedName name="AD3C21">[9]計算檢核!$U$35</definedName>
    <definedName name="AD3C22">[9]計算檢核!$U$36</definedName>
    <definedName name="AD3C23">[9]計算檢核!$U$37</definedName>
    <definedName name="AD3C24">[9]計算檢核!$U$38</definedName>
    <definedName name="AD3C25">[9]計算檢核!$U$39</definedName>
    <definedName name="AD3C26">[9]計算檢核!$U$40</definedName>
    <definedName name="AD3C27">[9]計算檢核!$U$41</definedName>
    <definedName name="AD3C28">[9]計算檢核!$U$42</definedName>
    <definedName name="AD3C29">[9]計算檢核!$U$43</definedName>
    <definedName name="AD3D">[9]計算檢核!$U$89</definedName>
    <definedName name="AD3D01">[9]計算檢核!$U$45</definedName>
    <definedName name="AD3D02">[9]計算檢核!$U$46</definedName>
    <definedName name="AD3D03">[9]計算檢核!$U$47</definedName>
    <definedName name="AD3D04">[9]計算檢核!$U$48</definedName>
    <definedName name="AD3D05">[9]計算檢核!$U$49</definedName>
    <definedName name="AD3D06">[9]計算檢核!$U$50</definedName>
    <definedName name="AD3D07">[9]計算檢核!$U$51</definedName>
    <definedName name="AD3D08">[9]計算檢核!$U$52</definedName>
    <definedName name="AD3D09">[9]計算檢核!$U$53</definedName>
    <definedName name="AD3D10">[9]計算檢核!$U$54</definedName>
    <definedName name="AD3D11">[9]計算檢核!$U$55</definedName>
    <definedName name="AD3D12">[9]計算檢核!$U$56</definedName>
    <definedName name="AD3D13">[9]計算檢核!$U$57</definedName>
    <definedName name="AD3D14">[9]計算檢核!$U$58</definedName>
    <definedName name="AD3D15">[9]計算檢核!$U$59</definedName>
    <definedName name="AD3D16">[9]計算檢核!$U$60</definedName>
    <definedName name="AD3D17">[9]計算檢核!$U$61</definedName>
    <definedName name="AD3D18">[9]計算檢核!$U$62</definedName>
    <definedName name="AD3D19">[9]計算檢核!$U$63</definedName>
    <definedName name="AD3D20">[9]計算檢核!$U$64</definedName>
    <definedName name="AD3D21">[9]計算檢核!$U$65</definedName>
    <definedName name="AD3D22">[9]計算檢核!$U$66</definedName>
    <definedName name="AD3D23">[9]計算檢核!$U$67</definedName>
    <definedName name="AD3D24">[9]計算檢核!$U$68</definedName>
    <definedName name="AD3D25">[9]計算檢核!$U$69</definedName>
    <definedName name="AD3D26">[9]計算檢核!$U$70</definedName>
    <definedName name="AD3D27">[9]計算檢核!$U$71</definedName>
    <definedName name="AD3D28">[9]計算檢核!$U$72</definedName>
    <definedName name="AD3D29">[9]計算檢核!$U$73</definedName>
    <definedName name="AD3D30">[9]計算檢核!$U$74</definedName>
    <definedName name="AD3D31">[9]計算檢核!$U$75</definedName>
    <definedName name="AD3D32">[9]計算檢核!$U$76</definedName>
    <definedName name="AD3D33">[9]計算檢核!$U$77</definedName>
    <definedName name="AD3D34">[9]計算檢核!$U$78</definedName>
    <definedName name="AD3D35">[9]計算檢核!$U$79</definedName>
    <definedName name="AD3D36">[9]計算檢核!$U$80</definedName>
    <definedName name="AD3D37">[9]計算檢核!$U$81</definedName>
    <definedName name="AD3D38">[9]計算檢核!$U$82</definedName>
    <definedName name="AD3D39">[9]計算檢核!$U$83</definedName>
    <definedName name="AD3D40">[9]計算檢核!$U$84</definedName>
    <definedName name="AD3D41">[9]計算檢核!$U$85</definedName>
    <definedName name="AD3D42">[9]計算檢核!$U$86</definedName>
    <definedName name="AD3D43">[9]計算檢核!$U$87</definedName>
    <definedName name="AD3D44">[9]計算檢核!$U$88</definedName>
    <definedName name="AD3F">[9]計算檢核!$Q$90</definedName>
    <definedName name="AD3G">[9]計算檢核!$Q$91</definedName>
    <definedName name="AD3H">[9]計算檢核!$Q$92</definedName>
    <definedName name="ADD">#REF!</definedName>
    <definedName name="ADF">#REF!</definedName>
    <definedName name="Adj.PP.P1">#REF!</definedName>
    <definedName name="Adj.PP.P2">#REF!</definedName>
    <definedName name="Adj.PP.P3">#REF!</definedName>
    <definedName name="Adj.PP.P4">#REF!</definedName>
    <definedName name="Adj.PP.P5">#REF!</definedName>
    <definedName name="ADJ_01">#REF!</definedName>
    <definedName name="ADJ_02">#REF!</definedName>
    <definedName name="aegc">#REF!</definedName>
    <definedName name="AFG">#REF!</definedName>
    <definedName name="AIRCOND">#REF!</definedName>
    <definedName name="all">#REF!</definedName>
    <definedName name="AMX">#REF!</definedName>
    <definedName name="AnnuFBRev">[10]Assumptions!#REF!</definedName>
    <definedName name="AnnuHotelRev">[10]Assumptions!#REF!</definedName>
    <definedName name="AnnuOthRev">[10]Assumptions!#REF!</definedName>
    <definedName name="AnnuTotalRev">[10]Assumptions!#REF!</definedName>
    <definedName name="ANS_01">#REF!</definedName>
    <definedName name="Appraisal_Date">[11]Summary!$H$1</definedName>
    <definedName name="APTV">[9]計算檢核!$Q$94</definedName>
    <definedName name="APUV">[9]計算檢核!$D$94</definedName>
    <definedName name="ARCH">#REF!</definedName>
    <definedName name="area">#REF!</definedName>
    <definedName name="AREA_1">#REF!</definedName>
    <definedName name="AREA_2">#REF!</definedName>
    <definedName name="AREA_3">#REF!</definedName>
    <definedName name="AREA_BUDGET">#REF!</definedName>
    <definedName name="AREA_CONTRACT">#REF!</definedName>
    <definedName name="AREA_NET">#REF!</definedName>
    <definedName name="AREA_SUBCONT">#REF!</definedName>
    <definedName name="arsdaafda">#REF!</definedName>
    <definedName name="AS">#REF!</definedName>
    <definedName name="asdfsatt">#REF!</definedName>
    <definedName name="ASE">#REF!</definedName>
    <definedName name="ASW">#REF!</definedName>
    <definedName name="ASZ">#REF!</definedName>
    <definedName name="at">#REF!</definedName>
    <definedName name="ATMACRO">#REF!</definedName>
    <definedName name="Auction_Timing">[12]List!#REF!</definedName>
    <definedName name="Auction_Timing_1">[12]List!#REF!</definedName>
    <definedName name="AUNAME">[9]安全驗證!$IC$10</definedName>
    <definedName name="AUTOCONTROL">#REF!</definedName>
    <definedName name="AverageRate">#REF!</definedName>
    <definedName name="avgprice">#REF!</definedName>
    <definedName name="avgsize">#REF!</definedName>
    <definedName name="aws">#REF!</definedName>
    <definedName name="AXF">#REF!</definedName>
    <definedName name="axn" hidden="1">{"'17種通貨匯率'!$A$1:$R$48"}</definedName>
    <definedName name="AZ" localSheetId="2">#REF!</definedName>
    <definedName name="AZ">#REF!</definedName>
    <definedName name="A假設工程">#REF!</definedName>
    <definedName name="B">#REF!</definedName>
    <definedName name="b1_rental">'[13]Rent Comp'!$B$21</definedName>
    <definedName name="B1_ROW">#REF!</definedName>
    <definedName name="B1連續壁工程">#REF!</definedName>
    <definedName name="B2_ROW">#REF!</definedName>
    <definedName name="B2基樁工程">#REF!</definedName>
    <definedName name="B3_ROW">#REF!</definedName>
    <definedName name="B3地盤改良工程">#REF!</definedName>
    <definedName name="B4_ROW">#REF!</definedName>
    <definedName name="B5_ROW">#REF!</definedName>
    <definedName name="B6_ROW">#REF!</definedName>
    <definedName name="babo1">#REF!</definedName>
    <definedName name="babo2">#REF!</definedName>
    <definedName name="babo3">#REF!</definedName>
    <definedName name="babo4">#REF!</definedName>
    <definedName name="babo5">#REF!</definedName>
    <definedName name="BankFR">[10]Assumptions!#REF!</definedName>
    <definedName name="bas">#REF!</definedName>
    <definedName name="Base1">[3]Sensitivities!$H$20</definedName>
    <definedName name="BaseCaseSen">[3]Sensitivities!$H$25:$H$90</definedName>
    <definedName name="BaseCheck">[3]TornadoCharts!$G$22</definedName>
    <definedName name="BasePaste">[3]Sensitivities!$B$13</definedName>
    <definedName name="bb">#REF!</definedName>
    <definedName name="bbb">[14]外15薪基84!#REF!</definedName>
    <definedName name="bbbb">#REF!</definedName>
    <definedName name="bc_cof">#REF!</definedName>
    <definedName name="BE">#REF!</definedName>
    <definedName name="bhj">#REF!</definedName>
    <definedName name="bhu">#REF!</definedName>
    <definedName name="bid_key">#REF!</definedName>
    <definedName name="BIDFORM_1">#REF!</definedName>
    <definedName name="BIDFORM_2">#REF!</definedName>
    <definedName name="BORDER_BUDGET">#REF!</definedName>
    <definedName name="BORDER_CONTRACT">#REF!</definedName>
    <definedName name="BORDER_NET">#REF!</definedName>
    <definedName name="BORDER_SUBCONT">#REF!</definedName>
    <definedName name="Borrower_Number">[15]Collateral!$J$4</definedName>
    <definedName name="BTU">#REF!</definedName>
    <definedName name="budgetcommonequity">#REF!</definedName>
    <definedName name="Building_Size_Ping">[16]Summary!#REF!</definedName>
    <definedName name="B基礎工程">#REF!</definedName>
    <definedName name="C_">#N/A</definedName>
    <definedName name="c0">#REF!</definedName>
    <definedName name="capitalcharge">'[17]LTV Calculation'!#REF!</definedName>
    <definedName name="CAR">#REF!</definedName>
    <definedName name="CC">#REF!</definedName>
    <definedName name="CCIhigh">[3]TornadoCharts!$L$18</definedName>
    <definedName name="CCIlow">[3]TornadoCharts!$L$17</definedName>
    <definedName name="CCS">#N/A</definedName>
    <definedName name="CDAT18">#REF!</definedName>
    <definedName name="CDATA1">#REF!</definedName>
    <definedName name="CDATA5">#REF!</definedName>
    <definedName name="CDATA6">#REF!</definedName>
    <definedName name="CDATA7">#REF!</definedName>
    <definedName name="CDATA8">#REF!</definedName>
    <definedName name="CDB">#REF!</definedName>
    <definedName name="cdf">#REF!</definedName>
    <definedName name="CFG">#REF!</definedName>
    <definedName name="cfr">#REF!</definedName>
    <definedName name="cft">#REF!</definedName>
    <definedName name="CGJ">[18]土地增值稅!#REF!</definedName>
    <definedName name="ChartSortData">[3]TornadoCharts!$G$66:$P$69</definedName>
    <definedName name="CHILLER">#REF!</definedName>
    <definedName name="co">#REF!</definedName>
    <definedName name="cof">'[17]LTV Calculation'!#REF!</definedName>
    <definedName name="Collateral_No">[19]Collateral!$J$5</definedName>
    <definedName name="common1">#REF!</definedName>
    <definedName name="common2">#REF!</definedName>
    <definedName name="common3">#REF!</definedName>
    <definedName name="common4">#REF!</definedName>
    <definedName name="common5">#REF!</definedName>
    <definedName name="computerflr">#REF!</definedName>
    <definedName name="conc.140">#REF!</definedName>
    <definedName name="conc.175">#REF!</definedName>
    <definedName name="conc.210">#REF!</definedName>
    <definedName name="Constant">#REF!</definedName>
    <definedName name="CONTRACT">#REF!</definedName>
    <definedName name="CONTRACT_SUB">#REF!</definedName>
    <definedName name="COST">#REF!</definedName>
    <definedName name="COST0">'[6]LD_全-2.25'!#REF!</definedName>
    <definedName name="COST1">#REF!</definedName>
    <definedName name="COUNT">#REF!</definedName>
    <definedName name="cpi02_1">#REF!</definedName>
    <definedName name="cpi60_1">#REF!</definedName>
    <definedName name="cpi61_1">#REF!</definedName>
    <definedName name="cpi63_1">#REF!</definedName>
    <definedName name="CSS">#N/A</definedName>
    <definedName name="Currency">[20]Main!$E$9</definedName>
    <definedName name="Current_Auction_Date">"Foreclosure_Date"</definedName>
    <definedName name="currentassets1">#REF!</definedName>
    <definedName name="currentassets2">#REF!</definedName>
    <definedName name="currentassets3">#REF!</definedName>
    <definedName name="currentassets4">#REF!</definedName>
    <definedName name="currentassets5">#REF!</definedName>
    <definedName name="currentliabilities1">#REF!</definedName>
    <definedName name="currentliabilities2">#REF!</definedName>
    <definedName name="currentliabilities3">#REF!</definedName>
    <definedName name="currentliabilities4">#REF!</definedName>
    <definedName name="currentliabilities5">#REF!</definedName>
    <definedName name="Currently_In_Place___Monthly_All_In_Rent_Tsubo">#REF!</definedName>
    <definedName name="CVB">#REF!</definedName>
    <definedName name="C水土保持設施">#REF!</definedName>
    <definedName name="d">#REF!</definedName>
    <definedName name="D12_">#N/A</definedName>
    <definedName name="D1土方挖運">#REF!</definedName>
    <definedName name="D20_">#N/A</definedName>
    <definedName name="D2鋼軌椿">#REF!</definedName>
    <definedName name="D3鋼板椿">#REF!</definedName>
    <definedName name="D4預壘樁">#REF!</definedName>
    <definedName name="D5預力地錨">#REF!</definedName>
    <definedName name="D6圍令支撐中間樁">#REF!</definedName>
    <definedName name="D7觀測系統">#REF!</definedName>
    <definedName name="DATA_1">#REF!</definedName>
    <definedName name="DATA_ACC">#REF!</definedName>
    <definedName name="DATA_TABLE">[12]List!#REF!</definedName>
    <definedName name="DATA11">#REF!</definedName>
    <definedName name="DATA13">#REF!</definedName>
    <definedName name="DATA15">#REF!</definedName>
    <definedName name="DATA17">[21]Sheet1!$G$5</definedName>
    <definedName name="DATA19">#REF!</definedName>
    <definedName name="DATA21">#REF!</definedName>
    <definedName name="DATA23">#REF!</definedName>
    <definedName name="DATA5">#REF!</definedName>
    <definedName name="DATA7">#REF!</definedName>
    <definedName name="DATA9">#REF!</definedName>
    <definedName name="_xlnm.Database">#REF!</definedName>
    <definedName name="Date">[22]Inputs!$E$12</definedName>
    <definedName name="DATE_REV">#REF!</definedName>
    <definedName name="dcf">#REF!</definedName>
    <definedName name="dcfaer">[23]Sheet1!$G$5</definedName>
    <definedName name="DCR">'[24]Cash Flow'!$B$13</definedName>
    <definedName name="dcvg">[25]土地!#REF!</definedName>
    <definedName name="ddcｅｒｗｅ">[25]土地!#REF!</definedName>
    <definedName name="ｄｄｗｅｅ">[25]土地!#REF!</definedName>
    <definedName name="de">#REF!</definedName>
    <definedName name="Deed">#REF!</definedName>
    <definedName name="def">#REF!</definedName>
    <definedName name="dfeyt">#REF!</definedName>
    <definedName name="dffcrt">[25]土地!#REF!</definedName>
    <definedName name="dfg">[25]土地!#REF!</definedName>
    <definedName name="dfgt">[25]土地!#REF!</definedName>
    <definedName name="dfr">#REF!</definedName>
    <definedName name="dfrt">#REF!</definedName>
    <definedName name="dfvsa">#REF!</definedName>
    <definedName name="discount">#REF!</definedName>
    <definedName name="DL" hidden="1">{#N/A,#N/A,FALSE,"首頁";#N/A,#N/A,FALSE,"美國格式 ";#N/A,#N/A,FALSE,"市  調  案  例";#N/A,#N/A,FALSE,"鑑定表";#N/A,#N/A,FALSE,"建物鑑定表"}</definedName>
    <definedName name="DOCUNAME">#REF!</definedName>
    <definedName name="draw_schedule">'[26]#REF'!$A$1:$AP$79</definedName>
    <definedName name="DS">#REF!</definedName>
    <definedName name="dsfdasffrete">#REF!</definedName>
    <definedName name="DUCTWORK">#REF!</definedName>
    <definedName name="dvg">#REF!</definedName>
    <definedName name="DW9_">#N/A</definedName>
    <definedName name="D地下室安全措施">#REF!</definedName>
    <definedName name="D長安段">[27]土地增值稅!#REF!</definedName>
    <definedName name="D南勢角段">[27]土地增值稅!#REF!</definedName>
    <definedName name="d豐田段">[27]土地增值稅!#REF!</definedName>
    <definedName name="e">#REF!</definedName>
    <definedName name="E1預拌混凝土">#REF!</definedName>
    <definedName name="E2鋼筋加工及彎紮">#REF!</definedName>
    <definedName name="E3模板工料">#REF!</definedName>
    <definedName name="E4鋼構工程">#REF!</definedName>
    <definedName name="E5鋼筋續接器">#REF!</definedName>
    <definedName name="E6鷹架及組拆">#REF!</definedName>
    <definedName name="ecf">#REF!</definedName>
    <definedName name="EDATA5">#REF!</definedName>
    <definedName name="edf">#REF!</definedName>
    <definedName name="EE">#REF!</definedName>
    <definedName name="eedfr">#REF!</definedName>
    <definedName name="eeeee">#REF!</definedName>
    <definedName name="eft">#REF!</definedName>
    <definedName name="eg" hidden="1">#REF!</definedName>
    <definedName name="ELECTRIC">#REF!</definedName>
    <definedName name="EMT">#REF!</definedName>
    <definedName name="EQUIPMENT">#REF!</definedName>
    <definedName name="equity1">#REF!</definedName>
    <definedName name="equity2">#REF!</definedName>
    <definedName name="equity3">#REF!</definedName>
    <definedName name="equity4">#REF!</definedName>
    <definedName name="equity5">#REF!</definedName>
    <definedName name="ererea">#REF!</definedName>
    <definedName name="ern.5" hidden="1">{"P",#N/A,FALSE,"91.04開發申請"}</definedName>
    <definedName name="ert">#REF!</definedName>
    <definedName name="erty">[25]土地!#REF!</definedName>
    <definedName name="evre">#REF!</definedName>
    <definedName name="extra1">#REF!</definedName>
    <definedName name="extra2">#REF!</definedName>
    <definedName name="extra3">#REF!</definedName>
    <definedName name="extra4">#REF!</definedName>
    <definedName name="extra5">#REF!</definedName>
    <definedName name="E結構體工程">#REF!</definedName>
    <definedName name="f">#REF!</definedName>
    <definedName name="F2175.">#REF!</definedName>
    <definedName name="F3總成本">[28]獎勵容積!$E$48</definedName>
    <definedName name="F5總成本">[28]獎勵容積!$E$54</definedName>
    <definedName name="fd" hidden="1">#REF!</definedName>
    <definedName name="fdg">#REF!</definedName>
    <definedName name="fedsw">#REF!</definedName>
    <definedName name="FF">[29]標單!#REF!</definedName>
    <definedName name="fff">#REF!</definedName>
    <definedName name="FFFFF">[30]INFO!#REF!</definedName>
    <definedName name="fgh">[31]土地!#REF!</definedName>
    <definedName name="FGY">[18]土地增值稅!#REF!</definedName>
    <definedName name="FILE_AREA">#REF!</definedName>
    <definedName name="financingcash1">#REF!</definedName>
    <definedName name="financingcash2">#REF!</definedName>
    <definedName name="financingcash3">#REF!</definedName>
    <definedName name="financingcash4">#REF!</definedName>
    <definedName name="financingcash5">#REF!</definedName>
    <definedName name="Forecasting">#REF!</definedName>
    <definedName name="frt">#REF!</definedName>
    <definedName name="ft">#REF!</definedName>
    <definedName name="FU">#REF!</definedName>
    <definedName name="FVH">#REF!</definedName>
    <definedName name="FXrate">[32]Assumptions!$B$4</definedName>
    <definedName name="g">#N/A</definedName>
    <definedName name="GB現地安置">[33]更新整體開發收益表!$G$18</definedName>
    <definedName name="GB總銷">[34]更新整體開發收益表!$C$3</definedName>
    <definedName name="GB總銷扣現地安置">[33]更新整體開發收益表!$C$4</definedName>
    <definedName name="GFA">[8]Summary!$D$16</definedName>
    <definedName name="gg">CHOOSE(#REF!,MA,MB,[0]!MC,MD,ME,MF,[0]!MG,MH,MI,MJ,MK,ML,MN,MR,MS,MZ)</definedName>
    <definedName name="GGG">#REF!</definedName>
    <definedName name="gggggg">#N/A</definedName>
    <definedName name="gh">#REF!</definedName>
    <definedName name="GI">#REF!</definedName>
    <definedName name="GO">#REF!</definedName>
    <definedName name="GOON">#REF!</definedName>
    <definedName name="GOSUB">#REF!</definedName>
    <definedName name="Gross_FMV">[12]List!#REF!</definedName>
    <definedName name="Gross_FSV">[12]List!#REF!</definedName>
    <definedName name="HDPE3">[4]單價分析!#REF!</definedName>
    <definedName name="HEADDAYA3">'[35]2004'!$U$42:$AA$47,'[35]2004'!$L$42:$R$47,'[35]2004'!$C$42:$I$47,'[35]2004'!$C$33:$I$38,'[35]2004'!$L$33:$R$38,'[35]2004'!$U$33:$AA$38,'[35]2004'!$U$24:$AA$29,'[35]2004'!$L$24:$R$28,'[35]2004'!$L$29:$R$29,'[35]2004'!$C$24:$I$29,'[35]2004'!$C$15:$I$20,'[35]2004'!$L$15:$R$20,'[35]2004'!$U$15:$AA$20</definedName>
    <definedName name="HEADDAYA4">'[35]2004'!$C$15:$I$20,'[35]2004'!$L$15,'[35]2004'!$R$15,'[35]2004'!$L$15:$R$20,'[35]2004'!$U$15:$AA$20,'[35]2004'!$C$24:$I$29,'[35]2004'!$L$24:$R$29,'[35]2004'!$U$24:$AA$29,'[35]2004'!$C$33:$I$38,'[35]2004'!$L$33:$R$37,'[35]2004'!$L$33:$R$38,'[35]2004'!$U$33:$AA$37,'[35]2004'!$AA$37,'[35]2004'!$U$33:$AA$38,'[35]2004'!$C$42:$I$47,'[35]2004'!$L$42:$R$47,'[35]2004'!$U$42:$AA$47</definedName>
    <definedName name="HEADWEEKA3">'[35]2004'!$C$14:$I$14,'[35]2004'!$L$14:$R$14,'[35]2004'!$U$14:$AA$14,'[35]2004'!$C$23:$I$23,'[35]2004'!$L$23:$R$23,'[35]2004'!$U$23:$AA$23,'[35]2004'!$C$32:$I$32,'[35]2004'!$L$32:$R$32,'[35]2004'!$U$32:$AA$32,'[35]2004'!$C$41:$I$41,'[35]2004'!$L$41:$R$41,'[35]2004'!$U$41:$AA$41</definedName>
    <definedName name="HEADWEEKA4">'[35]2004'!$C$14:$I$14,'[35]2004'!$L$14:$R$14,'[35]2004'!$U$14:$AA$14,'[35]2004'!$U$23:$AA$23,'[35]2004'!$L$23:$R$23,'[35]2004'!$C$23:$I$23,'[35]2004'!$U$32:$AA$32,'[35]2004'!$L$32:$R$32,'[35]2004'!$C$32:$I$32,'[35]2004'!$U$41:$AA$41,'[35]2004'!$L$41:$R$41,'[35]2004'!$C$41:$I$41</definedName>
    <definedName name="HH">#REF!</definedName>
    <definedName name="hju">#REF!</definedName>
    <definedName name="HOP">#REF!</definedName>
    <definedName name="hossss" hidden="1">{"P",#N/A,FALSE,"91.04開發申請"}</definedName>
    <definedName name="HouseTax">#REF!</definedName>
    <definedName name="HTML_CodePage" hidden="1">950</definedName>
    <definedName name="HTML_Control" hidden="1">{"'17種通貨匯率'!$A$1:$R$48"}</definedName>
    <definedName name="HTML_Description" hidden="1">""</definedName>
    <definedName name="HTML_Email" hidden="1">""</definedName>
    <definedName name="HTML_Header" hidden="1">""</definedName>
    <definedName name="HTML_LastUpdate" hidden="1">"1999/5/5"</definedName>
    <definedName name="HTML_LineAfter" hidden="1">FALSE</definedName>
    <definedName name="HTML_LineBefore" hidden="1">FALSE</definedName>
    <definedName name="HTML_Name" hidden="1">"中央銀行經濟研究處"</definedName>
    <definedName name="HTML_OBDlg2" hidden="1">TRUE</definedName>
    <definedName name="HTML_OBDlg4" hidden="1">TRUE</definedName>
    <definedName name="HTML_OS" hidden="1">0</definedName>
    <definedName name="HTML_PathFile" hidden="1">"A:\2.htm"</definedName>
    <definedName name="HTML_Title" hidden="1">"17種通貨即期匯率"</definedName>
    <definedName name="hyh">#REF!</definedName>
    <definedName name="HYT">[18]土地增值稅!#REF!</definedName>
    <definedName name="I">#REF!</definedName>
    <definedName name="i_AppraisalFirm">[36]Datascreen!$E$5</definedName>
    <definedName name="i_BorrowerName">[36]Datascreen!$E$6</definedName>
    <definedName name="i_LandTax">[37]摘要表!$N$15</definedName>
    <definedName name="i_LVITHalf">[38]摘要表!#REF!</definedName>
    <definedName name="Id" localSheetId="2">#REF!</definedName>
    <definedName name="Id">#REF!</definedName>
    <definedName name="IDATA5">#REF!</definedName>
    <definedName name="ihhki">#REF!</definedName>
    <definedName name="ijo">#REF!</definedName>
    <definedName name="in">#REF!</definedName>
    <definedName name="INDEX">#REF!</definedName>
    <definedName name="INSTALLATION">#REF!</definedName>
    <definedName name="INTE">'[6]LD_全-2.25'!#REF!</definedName>
    <definedName name="INTE0">'[6]LD_全-2.25'!#REF!</definedName>
    <definedName name="INTE1">'[6]LD_全-2.25'!#REF!</definedName>
    <definedName name="interest">#REF!</definedName>
    <definedName name="investmentcash1">#REF!</definedName>
    <definedName name="investmentcash2">#REF!</definedName>
    <definedName name="investmentcash3">#REF!</definedName>
    <definedName name="investmentcash4">#REF!</definedName>
    <definedName name="investmentcash5">#REF!</definedName>
    <definedName name="ipk">[25]土地!#REF!</definedName>
    <definedName name="it">#REF!</definedName>
    <definedName name="IZ">#REF!</definedName>
    <definedName name="j">#REF!</definedName>
    <definedName name="JDATA12">#REF!</definedName>
    <definedName name="JDATA6">#REF!</definedName>
    <definedName name="jjo">[25]土地!#REF!</definedName>
    <definedName name="jki">#REF!</definedName>
    <definedName name="JOB_NO">#REF!</definedName>
    <definedName name="JPY">#REF!</definedName>
    <definedName name="k">'[6]LD_全-2.25'!#REF!</definedName>
    <definedName name="KEY">#REF!</definedName>
    <definedName name="kk" hidden="1">'[6]LD_全-2.25'!#REF!</definedName>
    <definedName name="KKK" hidden="1">{"P",#N/A,FALSE,"91.04開發申請"}</definedName>
    <definedName name="kkkk">'[6]LD_全-2.25'!#REF!</definedName>
    <definedName name="kkkkk">'[6]LD_全-2.25'!#REF!</definedName>
    <definedName name="kkkkkk">'[6]LD_全-2.25'!#REF!</definedName>
    <definedName name="kkkkkkk">'[6]LD_全-2.25'!#REF!</definedName>
    <definedName name="kkkkkkkkk">#REF!</definedName>
    <definedName name="kkkkkkkkkk" hidden="1">#REF!</definedName>
    <definedName name="kkkkkkkkkkk">#REF!</definedName>
    <definedName name="kkkkkkkkkkkkk">'[6]LD_全-2.25'!#REF!</definedName>
    <definedName name="kkkkkkkkkkkkkkkk">#REF!</definedName>
    <definedName name="kkkkkkkkkkkkkkkkk">#REF!</definedName>
    <definedName name="kkkkkkkkkkkkkkkkkk">#REF!</definedName>
    <definedName name="kkkkkkkkkkkkkkkkkkk" hidden="1">#REF!</definedName>
    <definedName name="kkkkkkkkkkkkkkkkkkkk">'[6]LD_全-2.25'!#REF!</definedName>
    <definedName name="kkkkkkkkkkkkkkkkkkkkkk">'[6]LD_全-2.25'!#REF!</definedName>
    <definedName name="kkkkkkkkkkkkkkkkkkkkkkk">'[6]LD_全-2.25'!#REF!</definedName>
    <definedName name="KL" hidden="1">{#N/A,#N/A,FALSE,"首頁";#N/A,#N/A,FALSE,"美國格式 ";#N/A,#N/A,FALSE,"市  調  案  例";#N/A,#N/A,FALSE,"鑑定表";#N/A,#N/A,FALSE,"建物鑑定表"}</definedName>
    <definedName name="l">[39]標單!#REF!</definedName>
    <definedName name="L_1">'[1]SRC-B3U2'!#REF!</definedName>
    <definedName name="L_2">'[1]SRC-B3U2'!#REF!</definedName>
    <definedName name="L_3">'[1]SRC-B3U2'!#REF!</definedName>
    <definedName name="L_4">#REF!</definedName>
    <definedName name="L_5">#REF!</definedName>
    <definedName name="LA">#REF!</definedName>
    <definedName name="LandTax">#REF!</definedName>
    <definedName name="leverage">#REF!</definedName>
    <definedName name="lin" hidden="1">{#N/A,#N/A,FALSE,"首頁";#N/A,#N/A,FALSE,"美國格式 ";#N/A,#N/A,FALSE,"市  調  案  例";#N/A,#N/A,FALSE,"鑑定表";#N/A,#N/A,FALSE,"建物鑑定表"}</definedName>
    <definedName name="loc">'[2]최초 (2)'!$A$3:$Q$601</definedName>
    <definedName name="LOOP">#REF!</definedName>
    <definedName name="lst_temp1">#REF!</definedName>
    <definedName name="lst_temp2">#REF!</definedName>
    <definedName name="lst_temp3">#REF!,#REF!</definedName>
    <definedName name="lst_Type">[40]controls!$B$3:$B$45</definedName>
    <definedName name="ltv">#REF!</definedName>
    <definedName name="lverage">#REF!</definedName>
    <definedName name="LVIT_CL10Transfer">[41]controls!$C$32</definedName>
    <definedName name="LVIT_CL1Transfer">[41]controls!$C$5</definedName>
    <definedName name="LVIT_CL2Transfer">[41]controls!$C$8</definedName>
    <definedName name="LVIT_CL3Transfer">[41]controls!$C$11</definedName>
    <definedName name="LVIT_CL4Transfer">[41]controls!$C$14</definedName>
    <definedName name="LVIT_CL5Transfer">[41]controls!$C$17</definedName>
    <definedName name="LVIT_CL6Transfer">[41]controls!$C$20</definedName>
    <definedName name="LVIT_CL7Transfer">[41]controls!$C$23</definedName>
    <definedName name="LVIT_CL8Transfer">[41]controls!$C$26</definedName>
    <definedName name="LVIT_CL9Transfer">[41]controls!$C$29</definedName>
    <definedName name="M" localSheetId="2">#REF!</definedName>
    <definedName name="M">#REF!</definedName>
    <definedName name="MA">[42]menu!$B$1:$AJ$1</definedName>
    <definedName name="MACROS">#REF!</definedName>
    <definedName name="MAINMENU">#REF!</definedName>
    <definedName name="MaintenanceFeePer">#REF!</definedName>
    <definedName name="MAR">#REF!</definedName>
    <definedName name="MATCH" localSheetId="2">#REF!</definedName>
    <definedName name="MATCH">#REF!</definedName>
    <definedName name="MATERIAL">#REF!</definedName>
    <definedName name="MATERIAL_EA">#REF!</definedName>
    <definedName name="MATERIAL_EA_SUM">#REF!</definedName>
    <definedName name="maturity">#REF!</definedName>
    <definedName name="Maximum_LTV">#REF!</definedName>
    <definedName name="MB">[42]menu!$B$2:$AP$2</definedName>
    <definedName name="MBP">#REF!</definedName>
    <definedName name="MBRSUPPLY">#REF!</definedName>
    <definedName name="MC">#REF!</definedName>
    <definedName name="MD">[42]menu!$B$4:$S$4</definedName>
    <definedName name="ME">[42]menu!$B$5:$S$5</definedName>
    <definedName name="MENU_MACRO">#REF!</definedName>
    <definedName name="MENU1">#REF!</definedName>
    <definedName name="MENU1A">#REF!</definedName>
    <definedName name="MENU2">#REF!</definedName>
    <definedName name="MENU3">#REF!</definedName>
    <definedName name="MENU3A">#REF!</definedName>
    <definedName name="MENU4">#REF!</definedName>
    <definedName name="MENU4A">#REF!</definedName>
    <definedName name="MENU4B">#REF!</definedName>
    <definedName name="MENU5">#REF!</definedName>
    <definedName name="MENU5A">#REF!</definedName>
    <definedName name="MENU6">#REF!</definedName>
    <definedName name="MENU7">#REF!</definedName>
    <definedName name="MENU8">#REF!</definedName>
    <definedName name="mezzcc">'[17]LTV Calculation'!#REF!</definedName>
    <definedName name="MF">[42]menu!$B$6:$Z$6</definedName>
    <definedName name="MG">#REF!</definedName>
    <definedName name="MH">[42]menu!$B$8:$Z$8</definedName>
    <definedName name="MI">[42]menu!$B$9:$W$9</definedName>
    <definedName name="mil">[43]CostSchedule!$F$210</definedName>
    <definedName name="MilkAdj">[3]Sensitivities!$F$69</definedName>
    <definedName name="MISC">#REF!</definedName>
    <definedName name="MJ">[42]menu!$B$10:$K$10</definedName>
    <definedName name="MK">[42]menu!$B$11:$S$11</definedName>
    <definedName name="Mkt_Timing">[12]List!#REF!</definedName>
    <definedName name="ML">[42]menu!$B$12</definedName>
    <definedName name="MLS">#REF!</definedName>
    <definedName name="mm">#REF!</definedName>
    <definedName name="mmm">#REF!</definedName>
    <definedName name="mmmm">#REF!</definedName>
    <definedName name="mmmme">#REF!</definedName>
    <definedName name="mmmmm">#REF!</definedName>
    <definedName name="mmmmmm">#REF!</definedName>
    <definedName name="mmmmmmm">#REF!</definedName>
    <definedName name="mmmmmmmm">#REF!</definedName>
    <definedName name="mmmmmmmmm">#REF!</definedName>
    <definedName name="mmmmmmmmmmmmmmmm">[2]단서적용!$A$5:$AL$603</definedName>
    <definedName name="mmmmmmmmmmmmmmmmm">#REF!</definedName>
    <definedName name="mmmmmmmmmmmmmmmmmmmmmmmmm">#REF!</definedName>
    <definedName name="mmmmmmmn">#REF!</definedName>
    <definedName name="MN">[42]menu!$B$13:$S$13</definedName>
    <definedName name="mnh">#REF!</definedName>
    <definedName name="mnn">#REF!</definedName>
    <definedName name="MODEL_1_AREA">#REF!</definedName>
    <definedName name="MODEL_2_AREA">#REF!</definedName>
    <definedName name="MPGhigh">[3]TornadoCharts!$M$18</definedName>
    <definedName name="MPGlow">[3]TornadoCharts!$M$17</definedName>
    <definedName name="MR">[42]menu!$B$14</definedName>
    <definedName name="MS">[42]menu!$B$15:$S$15</definedName>
    <definedName name="MZ">[42]menu!$B$16:$AA$16</definedName>
    <definedName name="NALYS_1">#REF!</definedName>
    <definedName name="NALYS_2">#REF!</definedName>
    <definedName name="Name">[22]Inputs!$E$10</definedName>
    <definedName name="NAME_BID">#REF!</definedName>
    <definedName name="NCFStream">#REF!</definedName>
    <definedName name="NET_SUM">#REF!</definedName>
    <definedName name="NF">#REF!</definedName>
    <definedName name="nhj">[31]土地!#REF!</definedName>
    <definedName name="nju">#REF!</definedName>
    <definedName name="nn">#REF!</definedName>
    <definedName name="NNN">[44]團險職團人!$C$24</definedName>
    <definedName name="no">#REF!</definedName>
    <definedName name="noncurrentassets1">#REF!</definedName>
    <definedName name="noncurrentassets2">#REF!</definedName>
    <definedName name="noncurrentassets3">#REF!</definedName>
    <definedName name="noncurrentassets4">#REF!</definedName>
    <definedName name="noncurrentassets5">#REF!</definedName>
    <definedName name="nonoperatingexpenses1">#REF!</definedName>
    <definedName name="nonoperatingexpenses2">#REF!</definedName>
    <definedName name="nonoperatingexpenses3">#REF!</definedName>
    <definedName name="nonoperatingexpenses4">#REF!</definedName>
    <definedName name="nonoperatingexpenses5">#REF!</definedName>
    <definedName name="NOTE">#REF!</definedName>
    <definedName name="NvsASD">"V2003-10-31"</definedName>
    <definedName name="NvsAutoDrillOk">"VN"</definedName>
    <definedName name="NvsElapsedTime">0.000105208338936791</definedName>
    <definedName name="NvsEndTime">37936.9369063657</definedName>
    <definedName name="NvsInstSpec">"%,FDEPTID,TCC_STRUCTURE,NNAA200"</definedName>
    <definedName name="NvsLayoutType">"M3"</definedName>
    <definedName name="NvsNplSpec">"%,X,RZF..nPlode1,CZF.."</definedName>
    <definedName name="NvsPanelEffdt">"V1900-01-01"</definedName>
    <definedName name="NvsPanelSetid">"VGMAC"</definedName>
    <definedName name="NvsReqBU">"VELIM6"</definedName>
    <definedName name="NvsReqBUOnly">"VN"</definedName>
    <definedName name="NvsTransLed">"VN"</definedName>
    <definedName name="NvsTreeASD">"V2003-10-31"</definedName>
    <definedName name="NvsValTbl.ACCOUNT">"GL_ACCOUNT_TBL"</definedName>
    <definedName name="NvsValTbl.SCENARIO">"BD_SCENARIO_TBL"</definedName>
    <definedName name="o">[39]標單!#REF!</definedName>
    <definedName name="OCCUPANCY_ANALYSIS">#REF!</definedName>
    <definedName name="OfficeFR">[10]Assumptions!#REF!</definedName>
    <definedName name="oih">#REF!</definedName>
    <definedName name="OO">#REF!</definedName>
    <definedName name="operatingcash1">#REF!</definedName>
    <definedName name="operatingcash2">#REF!</definedName>
    <definedName name="operatingcash3">#REF!</definedName>
    <definedName name="operatingcash4">#REF!</definedName>
    <definedName name="operatingcash5">#REF!</definedName>
    <definedName name="P">#REF!</definedName>
    <definedName name="P_1">#REF!</definedName>
    <definedName name="P_2">#REF!</definedName>
    <definedName name="PA">#REF!</definedName>
    <definedName name="ParkingBank">[10]Assumptions!#REF!</definedName>
    <definedName name="ParkingMotorcycle">#REF!</definedName>
    <definedName name="ParkingOffice">#REF!</definedName>
    <definedName name="ParkingRetail">#REF!</definedName>
    <definedName name="phy">#REF!</definedName>
    <definedName name="pij">[25]土地!#REF!</definedName>
    <definedName name="PIPEWORK">#REF!</definedName>
    <definedName name="PIY">[25]土地!#REF!</definedName>
    <definedName name="PMX">#REF!</definedName>
    <definedName name="PNL">#REF!</definedName>
    <definedName name="poi">[31]土地!#REF!</definedName>
    <definedName name="points">#REF!</definedName>
    <definedName name="Port_Comp">#REF!</definedName>
    <definedName name="PP">#REF!</definedName>
    <definedName name="PREPARE">#REF!</definedName>
    <definedName name="PRICE">#REF!</definedName>
    <definedName name="pricelv">[2]Physical!$A$3:$J$600</definedName>
    <definedName name="PRINT">#REF!</definedName>
    <definedName name="PRINT_01">#REF!</definedName>
    <definedName name="PRINT_02">#REF!</definedName>
    <definedName name="PRINT_03">#REF!</definedName>
    <definedName name="PRINT_04">#REF!</definedName>
    <definedName name="_xlnm.Print_Area" localSheetId="2">北市建築量體!$A$1:$G$54</definedName>
    <definedName name="_xlnm.Print_Area" localSheetId="3">新北建築量體!$A$1:$G$54</definedName>
    <definedName name="_xlnm.Print_Area">#REF!</definedName>
    <definedName name="PRINT_AREA_MI">#REF!</definedName>
    <definedName name="PRINT_AREA_MI1">#REF!</definedName>
    <definedName name="_xlnm.Print_Titles">#REF!</definedName>
    <definedName name="Print_Titles_MI">#REF!</definedName>
    <definedName name="PRINT_TITLES_MI1">#REF!</definedName>
    <definedName name="PrintChartData">[45]不同组合模式分析!$B$1:$L$433</definedName>
    <definedName name="PrintCharts">[45]不同组合模式分析!$A$1:$A$692</definedName>
    <definedName name="pro">'[17]LTV Calculation'!#REF!</definedName>
    <definedName name="proforma">'[24]Cash Flow'!#REF!</definedName>
    <definedName name="ProjectName">{"Client Name or Project Name"}</definedName>
    <definedName name="PROP1">#REF!</definedName>
    <definedName name="PROP2">#REF!</definedName>
    <definedName name="PROPERTY_NAME">#REF!</definedName>
    <definedName name="q">#REF!</definedName>
    <definedName name="QER">#REF!</definedName>
    <definedName name="QQ">#REF!</definedName>
    <definedName name="QQQ" hidden="1">{"O",#N/A,FALSE,"91.04開發申請"}</definedName>
    <definedName name="qwa">#REF!</definedName>
    <definedName name="qwe">#REF!</definedName>
    <definedName name="QWR">#REF!</definedName>
    <definedName name="RC_9_12層建築物" localSheetId="2">#REF!</definedName>
    <definedName name="RC_9_12層建築物">#REF!</definedName>
    <definedName name="RealUSD">'[3]US$ Real'!$G$58:$T$58</definedName>
    <definedName name="register">#REF!</definedName>
    <definedName name="RENT_ANALYSIS">#REF!</definedName>
    <definedName name="rental_1f">'[13]Rent Comp'!$B$22</definedName>
    <definedName name="rental_2f">'[13]Rent Comp'!$B$23</definedName>
    <definedName name="rental_3f">'[13]Rent Comp'!$B$24</definedName>
    <definedName name="rental_4f">'[13]Rent Comp'!$B$25</definedName>
    <definedName name="rental_5f">'[13]Rent Comp'!$B$26</definedName>
    <definedName name="rental_6f">'[13]Rent Comp'!$B$27</definedName>
    <definedName name="rental_b1">'[13]Rent Comp'!$B$21</definedName>
    <definedName name="Report">#REF!</definedName>
    <definedName name="ReportMonth">#REF!</definedName>
    <definedName name="reportout">#REF!</definedName>
    <definedName name="reportout2">#REF!</definedName>
    <definedName name="reserveratio">#REF!</definedName>
    <definedName name="resolution_price">[8]Expense!$B$40</definedName>
    <definedName name="Result">[3]Sensitivities!$I$21</definedName>
    <definedName name="Results">#REF!</definedName>
    <definedName name="RetailFR">[10]Assumptions!#REF!</definedName>
    <definedName name="RevGrowthRate">[10]Assumptions!#REF!</definedName>
    <definedName name="RFH">#REF!</definedName>
    <definedName name="rft">#REF!</definedName>
    <definedName name="ROW">#REF!</definedName>
    <definedName name="rt">'[46]85預算'!$N$2</definedName>
    <definedName name="RTY">#REF!</definedName>
    <definedName name="S">'[47]9207物價指數'!$Y$500:$Y$523</definedName>
    <definedName name="S_0">#REF!</definedName>
    <definedName name="S_01">[48]單價分析!#REF!</definedName>
    <definedName name="S_02">[48]單價分析!#REF!</definedName>
    <definedName name="S_03">[48]單價分析!#REF!</definedName>
    <definedName name="S_1">#N/A</definedName>
    <definedName name="S_22">[48]單價分析!#REF!</definedName>
    <definedName name="S_22A">[48]單價分析!#REF!</definedName>
    <definedName name="S_23">[48]單價分析!#REF!</definedName>
    <definedName name="S_24">[48]單價分析!#REF!</definedName>
    <definedName name="S_24A">[48]單價分析!#REF!</definedName>
    <definedName name="S_24B">[48]單價分析!#REF!</definedName>
    <definedName name="S_24C">[48]單價分析!#REF!</definedName>
    <definedName name="S_25">[48]單價分析!#REF!</definedName>
    <definedName name="S_25B">[48]單價分析!#REF!</definedName>
    <definedName name="S_26">[48]單價分析!#REF!</definedName>
    <definedName name="S_27">[48]單價分析!#REF!</definedName>
    <definedName name="S_28">[48]單價分析!#REF!</definedName>
    <definedName name="S_29">#REF!</definedName>
    <definedName name="S_32">[48]單價分析!#REF!</definedName>
    <definedName name="S_34">[48]單價分析!#REF!</definedName>
    <definedName name="S_35">[48]單價分析!#REF!</definedName>
    <definedName name="S_36">[48]單價分析!#REF!</definedName>
    <definedName name="S_37">[48]單價分析!#REF!</definedName>
    <definedName name="S_38">[48]單價分析!#REF!</definedName>
    <definedName name="S_38B">[48]單價分析!#REF!</definedName>
    <definedName name="S_38C">[48]單價分析!#REF!</definedName>
    <definedName name="S_39">[48]單價分析!#REF!</definedName>
    <definedName name="S_4">[48]單價分析!#REF!</definedName>
    <definedName name="S_42">[48]單價分析!#REF!</definedName>
    <definedName name="S_43">[48]單價分析!#REF!</definedName>
    <definedName name="S_44">[48]單價分析!#REF!</definedName>
    <definedName name="S_44B">[48]單價分析!#REF!</definedName>
    <definedName name="S_45">[48]單價分析!#REF!</definedName>
    <definedName name="S_45B">[48]單價分析!#REF!</definedName>
    <definedName name="S_46">[48]單價分析!#REF!</definedName>
    <definedName name="S_46B">[48]單價分析!#REF!</definedName>
    <definedName name="S_46C">[48]單價分析!#REF!</definedName>
    <definedName name="S_47">[48]單價分析!#REF!</definedName>
    <definedName name="S_48">[48]單價分析!#REF!</definedName>
    <definedName name="S_48B">[48]單價分析!#REF!</definedName>
    <definedName name="S_48C">[48]單價分析!#REF!</definedName>
    <definedName name="S_48D">[48]單價分析!#REF!</definedName>
    <definedName name="S_51">#N/A</definedName>
    <definedName name="S_52">[48]單價分析!#REF!</definedName>
    <definedName name="S_53">[48]單價分析!#REF!</definedName>
    <definedName name="S_54">[48]單價分析!#REF!</definedName>
    <definedName name="S_54B">[48]單價分析!#REF!</definedName>
    <definedName name="S_54C">[48]單價分析!#REF!</definedName>
    <definedName name="S_54D">[48]單價分析!#REF!</definedName>
    <definedName name="S_56">[48]單價分析!#REF!</definedName>
    <definedName name="S_57">[48]單價分析!#REF!</definedName>
    <definedName name="S_62">[48]單價分析!#REF!</definedName>
    <definedName name="S_63">[48]單價分析!#REF!</definedName>
    <definedName name="S_72">[48]單價分析!#REF!</definedName>
    <definedName name="S_73">#REF!</definedName>
    <definedName name="S_74">#REF!</definedName>
    <definedName name="S_75">#REF!</definedName>
    <definedName name="S_76">#REF!</definedName>
    <definedName name="S_77">#REF!</definedName>
    <definedName name="S_81">#REF!</definedName>
    <definedName name="S_82">#REF!</definedName>
    <definedName name="S_91">#REF!</definedName>
    <definedName name="SAFTOPERATION">#REF!</definedName>
    <definedName name="sale">[2]단서적용!$A$5:$AL$603</definedName>
    <definedName name="SALE0">'[6]LD_全-2.25'!#REF!</definedName>
    <definedName name="SALE1">#REF!</definedName>
    <definedName name="SanLuShare">[3]Value!$J$31:$V$31</definedName>
    <definedName name="satstadsg">#REF!</definedName>
    <definedName name="SAVE">#REF!</definedName>
    <definedName name="SAY_HALLOO">#REF!</definedName>
    <definedName name="SC">#REF!</definedName>
    <definedName name="sc_cof">#REF!</definedName>
    <definedName name="Scenario">[3]Sensitivities!$F$22</definedName>
    <definedName name="ScenarioCase">[3]Sensitivities!$I$25:$I$90</definedName>
    <definedName name="ScenarioMacro">[3]Sensitivities!$I$20</definedName>
    <definedName name="ScenarioPaste">[3]Sensitivities!$B$14</definedName>
    <definedName name="sde">#REF!</definedName>
    <definedName name="sdef">#REF!</definedName>
    <definedName name="SDF">#REF!</definedName>
    <definedName name="SDFG">[49]Sheet1!$G$5</definedName>
    <definedName name="sdx">#REF!</definedName>
    <definedName name="sed">#REF!</definedName>
    <definedName name="sertg">#REF!</definedName>
    <definedName name="shares">'[3]Global Inputs'!$G$13</definedName>
    <definedName name="sheet110">'[50]9207物價指數'!$AB$500:$AB$525</definedName>
    <definedName name="SHEET111" hidden="1">{"O",#N/A,FALSE,"91.04開發申請"}</definedName>
    <definedName name="ShortName">[51]Inputs!$J$10</definedName>
    <definedName name="SM">#REF!</definedName>
    <definedName name="SMtoSF">[32]Assumptions!$B$6</definedName>
    <definedName name="SPGhigh">[3]TornadoCharts!$J$18</definedName>
    <definedName name="SPGL1">[3]Sensitivities!$J$45:$J$46</definedName>
    <definedName name="SPGL2">[3]Sensitivities!$K$45:$K$46</definedName>
    <definedName name="SPGL3">[3]Sensitivities!$I$45:$I$46</definedName>
    <definedName name="SPGlow">[3]TornadoCharts!$J$17</definedName>
    <definedName name="SPGLqHigh">[3]TornadoCharts!$K$18</definedName>
    <definedName name="SPGLqLow">[3]TornadoCharts!$K$17</definedName>
    <definedName name="SRC鋼筋加工及彎紮Fy_4200kg_cm2">#REF!</definedName>
    <definedName name="sss">#REF!</definedName>
    <definedName name="ST_">#REF!</definedName>
    <definedName name="stamp">#REF!</definedName>
    <definedName name="START">#REF!</definedName>
    <definedName name="steel">#REF!</definedName>
    <definedName name="SUM">'[52]單價分析表 '!#REF!</definedName>
    <definedName name="SUM_BTU">#REF!</definedName>
    <definedName name="SUM_CONTROL">#REF!</definedName>
    <definedName name="SUM_ELECTRIC">#REF!</definedName>
    <definedName name="SUM_PIPE">#REF!</definedName>
    <definedName name="SUM_SAFTOPER">#REF!</definedName>
    <definedName name="swd">#REF!</definedName>
    <definedName name="T" localSheetId="2">#REF!</definedName>
    <definedName name="T">#REF!</definedName>
    <definedName name="T_BUDGET">#REF!</definedName>
    <definedName name="T_QUOTATION">#REF!</definedName>
    <definedName name="table">#REF!</definedName>
    <definedName name="table2">#REF!</definedName>
    <definedName name="tax">'[17]LTV Calculation'!#REF!</definedName>
    <definedName name="tax_rate">#REF!</definedName>
    <definedName name="TEST">[53]預算總表!#REF!</definedName>
    <definedName name="TGhigh">[3]TornadoCharts!$G$18</definedName>
    <definedName name="TGlow">[3]TornadoCharts!$G$17</definedName>
    <definedName name="TIME">#REF!</definedName>
    <definedName name="TIME0">'[6]LD_全-2.25'!#REF!</definedName>
    <definedName name="TIME1">#REF!</definedName>
    <definedName name="TITLE">#REF!</definedName>
    <definedName name="TITLE_END">#REF!</definedName>
    <definedName name="TITLE_UNI">#REF!</definedName>
    <definedName name="TL">#N/A</definedName>
    <definedName name="To" localSheetId="2">#REF!</definedName>
    <definedName name="To">#REF!</definedName>
    <definedName name="TornadoSort">[3]TornadoCharts!$G$66:$P$69</definedName>
    <definedName name="TOT">#REF!</definedName>
    <definedName name="Total">[2]Total_list!$A$6:$AC$604</definedName>
    <definedName name="TOTAL_LINE">#REF!</definedName>
    <definedName name="TotalFR">#REF!</definedName>
    <definedName name="TotalOfficeIncome">#REF!</definedName>
    <definedName name="TotalOfficeIncomemo">#REF!</definedName>
    <definedName name="TPMhigh">[3]TornadoCharts!$P$18</definedName>
    <definedName name="TPMlow">[3]TornadoCharts!$P$17</definedName>
    <definedName name="Trustee_Fee">#REF!</definedName>
    <definedName name="TsbToSM">[32]Assumptions!$B$5</definedName>
    <definedName name="TsfrPriceAdj">[3]Sensitivities!$F$71</definedName>
    <definedName name="ttest">#REF!</definedName>
    <definedName name="type">#REF!</definedName>
    <definedName name="TYPE_MASTER">#REF!</definedName>
    <definedName name="tyu">[31]土地!#REF!</definedName>
    <definedName name="Tz" localSheetId="2">#REF!</definedName>
    <definedName name="Tz">#REF!</definedName>
    <definedName name="uji">#REF!</definedName>
    <definedName name="UJO">#REF!</definedName>
    <definedName name="ul_irr">#REF!</definedName>
    <definedName name="Underwritten_Value">#REF!</definedName>
    <definedName name="UNI_AT_01">#REF!</definedName>
    <definedName name="UNI_CONTROL">#REF!</definedName>
    <definedName name="UNI_D_01">#REF!</definedName>
    <definedName name="UNI_D_02">#REF!</definedName>
    <definedName name="UNI_D_03">#REF!</definedName>
    <definedName name="UNI_D_04">#REF!</definedName>
    <definedName name="UNI_D_05">#REF!</definedName>
    <definedName name="UNI_DUCT">#REF!</definedName>
    <definedName name="UNI_E_01">#REF!</definedName>
    <definedName name="UNI_ELECTRIC">#REF!</definedName>
    <definedName name="UNI_EQ_01">#REF!</definedName>
    <definedName name="UNI_EQ_02">#REF!</definedName>
    <definedName name="UNI_EQUIP">#REF!</definedName>
    <definedName name="UNI_IN_01">#REF!</definedName>
    <definedName name="UNI_INSTALL">#REF!</definedName>
    <definedName name="UNI_INSURANCE">#REF!</definedName>
    <definedName name="UNI_MANAGE">#REF!</definedName>
    <definedName name="UNI_P_01">#REF!</definedName>
    <definedName name="UNI_P_02">#REF!</definedName>
    <definedName name="UNI_P_03">#REF!</definedName>
    <definedName name="UNI_PIPE">#REF!</definedName>
    <definedName name="UNI_PRICE">#REF!</definedName>
    <definedName name="UNI_SAFTOPERAT">#REF!</definedName>
    <definedName name="UNI_SC_01">#REF!</definedName>
    <definedName name="Units">'[3]Global Inputs'!$E$17</definedName>
    <definedName name="US_Rate">[3]Value!$G$6</definedName>
    <definedName name="use">#REF!</definedName>
    <definedName name="val_per">[51]Inputs!$E$138</definedName>
    <definedName name="Value">[3]Sensitivities!$B$10:$Y$10</definedName>
    <definedName name="Valuesheet">#REF!</definedName>
    <definedName name="VBH">[18]土地增值稅!#REF!</definedName>
    <definedName name="VBHJ">#REF!</definedName>
    <definedName name="VBN">#REF!</definedName>
    <definedName name="vgf">#REF!</definedName>
    <definedName name="VGH">#REF!</definedName>
    <definedName name="VGhigh">[3]TornadoCharts!$H$18</definedName>
    <definedName name="VGlow">[3]TornadoCharts!$H$17</definedName>
    <definedName name="VGLqHigh">[3]TornadoCharts!$I$18</definedName>
    <definedName name="VGLqLow">[3]TornadoCharts!$I$17</definedName>
    <definedName name="VolGrowth">'[3]Global Inputs'!$G$59</definedName>
    <definedName name="VS">#REF!</definedName>
    <definedName name="W">#REF!</definedName>
    <definedName name="W15_">#N/A</definedName>
    <definedName name="W2F">#REF!</definedName>
    <definedName name="W3_">#N/A</definedName>
    <definedName name="W3F">#REF!</definedName>
    <definedName name="W6_">#N/A</definedName>
    <definedName name="WACC1">[3]Sensitivities!$J$25</definedName>
    <definedName name="WACC2">[3]Sensitivities!$K$25</definedName>
    <definedName name="WACC3">[3]Sensitivities!$I$25</definedName>
    <definedName name="WACChigh">[3]TornadoCharts!$N$18</definedName>
    <definedName name="WACClow">[3]TornadoCharts!$N$17</definedName>
    <definedName name="we">#REF!</definedName>
    <definedName name="WGhigh">[3]TornadoCharts!$O$18</definedName>
    <definedName name="WGlow">[3]TornadoCharts!$O$17</definedName>
    <definedName name="WIN">#REF!</definedName>
    <definedName name="WORK_ACC_01">#REF!</definedName>
    <definedName name="WORK_ACC_02">#REF!</definedName>
    <definedName name="WORK_NALYS_201">#REF!</definedName>
    <definedName name="WORK_NALYS_202">#REF!</definedName>
    <definedName name="WORK_NALYS_203">#REF!</definedName>
    <definedName name="WORK_NALYS_204">#REF!</definedName>
    <definedName name="WORK_NALYS_205">#REF!</definedName>
    <definedName name="WORKAREA_MATER">#REF!</definedName>
    <definedName name="wrn.5" hidden="1">{"O",#N/A,FALSE,"91.04開發申請"}</definedName>
    <definedName name="wrn.6" hidden="1">{"開發表全部",#N/A,TRUE,"土開法"}</definedName>
    <definedName name="wrn.all." hidden="1">{#N/A,#N/A,FALSE,"首頁";#N/A,#N/A,FALSE,"美國格式 ";#N/A,#N/A,FALSE,"市  調  案  例";#N/A,#N/A,FALSE,"鑑定表";#N/A,#N/A,FALSE,"建物鑑定表"}</definedName>
    <definedName name="wrn.ㄐ." hidden="1">{"O",#N/A,FALSE,"91.04開發申請"}</definedName>
    <definedName name="wrn.月報." hidden="1">{#N/A,#N/A,TRUE,"項次";#N/A,#N/A,TRUE,"月報封面";#N/A,#N/A,TRUE,"工地基本資料";#N/A,#N/A,TRUE,"全程營運控制表";#N/A,#N/A,TRUE,"雙週進度表";#N/A,#N/A,TRUE,"支出統計表";#N/A,#N/A,TRUE,"收入統計表";#N/A,#N/A,TRUE,"收支差異統計表 ";#N/A,#N/A,TRUE,"工率分析統計表"}</definedName>
    <definedName name="wrn.玩." hidden="1">{"P",#N/A,FALSE,"91.04開發申請"}</definedName>
    <definedName name="wrn.開發表全部." hidden="1">{"開發表全部",#N/A,TRUE,"土開法"}</definedName>
    <definedName name="wsx">#REF!</definedName>
    <definedName name="wtrtreat">#REF!</definedName>
    <definedName name="WW">#REF!</definedName>
    <definedName name="x">#REF!</definedName>
    <definedName name="xde">#REF!</definedName>
    <definedName name="XDH">[18]土地增值稅!#REF!</definedName>
    <definedName name="xdr">#REF!</definedName>
    <definedName name="XFG">#REF!</definedName>
    <definedName name="XO">'[6]LD_全-2.25'!#REF!</definedName>
    <definedName name="xsd">#REF!</definedName>
    <definedName name="ｘｓｄｅｄ">[25]土地!#REF!</definedName>
    <definedName name="xsw">[31]土地!#REF!</definedName>
    <definedName name="XZA">#REF!</definedName>
    <definedName name="yearlydiscount">#REF!</definedName>
    <definedName name="yhj">#REF!</definedName>
    <definedName name="yhji">#REF!</definedName>
    <definedName name="yhjj">#REF!</definedName>
    <definedName name="YHJU">#REF!</definedName>
    <definedName name="YHO">#REF!</definedName>
    <definedName name="YJO">[25]土地!#REF!</definedName>
    <definedName name="YYI">#REF!</definedName>
    <definedName name="z">[54]Sheet1!$G$5</definedName>
    <definedName name="Z_2">#REF!</definedName>
    <definedName name="ZC_1">#REF!</definedName>
    <definedName name="zdr">#REF!</definedName>
    <definedName name="zdx">#REF!</definedName>
    <definedName name="一" localSheetId="2">#REF!</definedName>
    <definedName name="一">#REF!</definedName>
    <definedName name="一層">#REF!</definedName>
    <definedName name="一樓乘數">[55]合建分配!#REF!</definedName>
    <definedName name="七">#REF!</definedName>
    <definedName name="二" localSheetId="2">#REF!</definedName>
    <definedName name="二">#REF!</definedName>
    <definedName name="二樓乘數">[55]合建分配!#REF!</definedName>
    <definedName name="人15">[56]收金人件!#REF!</definedName>
    <definedName name="三" localSheetId="2">#REF!</definedName>
    <definedName name="三">#REF!</definedName>
    <definedName name="三樓乘數">[55]合建分配!#REF!</definedName>
    <definedName name="三樓基準單價">#REF!</definedName>
    <definedName name="土地同意面積">'[57]土地同意比例(951004)'!$F$34</definedName>
    <definedName name="土地成本">[58]開發內容!$F$12</definedName>
    <definedName name="土地坪">[59]COST1_3!$D$16</definedName>
    <definedName name="土地計算面積">'[57]土地同意比例(951004)'!$D$34</definedName>
    <definedName name="土地面積">#REF!</definedName>
    <definedName name="土地總面積">#REF!</definedName>
    <definedName name="土估表">#REF!</definedName>
    <definedName name="土開第一期">{"Client Name or Project Name"}</definedName>
    <definedName name="士林_慶同_台芝">#REF!</definedName>
    <definedName name="大工">[60]基本單價!$E$54</definedName>
    <definedName name="大公比">#REF!</definedName>
    <definedName name="大店">[55]規劃方案!#REF!</definedName>
    <definedName name="小工">[60]基本單價!$E$53</definedName>
    <definedName name="小店">[55]規劃方案!#REF!</definedName>
    <definedName name="工地辦公室及倉庫_含辦公室設備">[5]單價分析!#REF!</definedName>
    <definedName name="工期" localSheetId="2">#REF!</definedName>
    <definedName name="工期">#REF!</definedName>
    <definedName name="工程品質管制執行費">#REF!</definedName>
    <definedName name="工程款比例">[58]開發內容!$C$31</definedName>
    <definedName name="工程費用">#REF!</definedName>
    <definedName name="不織布">[60]基本單價!$E$50</definedName>
    <definedName name="中">#REF!</definedName>
    <definedName name="中間椿_構台椿__H_300____L_25m">#REF!</definedName>
    <definedName name="中間椿_構台椿__H_350____L_25m">#REF!</definedName>
    <definedName name="中間椿_構台椿__H_400____L_25m">#REF!</definedName>
    <definedName name="中間椿_構台椿__H_400mm_L_25m_含引孔">#REF!</definedName>
    <definedName name="中間椿止水封閉">#REF!</definedName>
    <definedName name="五分擋土襯板">#REF!</definedName>
    <definedName name="井1515">[4]單價分析!#REF!</definedName>
    <definedName name="什項">#REF!</definedName>
    <definedName name="內地坪">[59]COST1_3!$D$22</definedName>
    <definedName name="內牆石材">#REF!</definedName>
    <definedName name="內牆粉刷油漆">#REF!</definedName>
    <definedName name="內牆磁磚">#REF!</definedName>
    <definedName name="公告現值">[61]輸入!#REF!</definedName>
    <definedName name="分包項目">#REF!</definedName>
    <definedName name="分析">#REF!</definedName>
    <definedName name="分區">[62]法規資料表!$L$7:$L$127</definedName>
    <definedName name="反循環基椿120cm∮L_28m">#REF!</definedName>
    <definedName name="天花板">#REF!</definedName>
    <definedName name="天花粉刷油漆">#REF!</definedName>
    <definedName name="戶數" localSheetId="2">#REF!</definedName>
    <definedName name="戶數">#REF!</definedName>
    <definedName name="支撐材">[60]基本單價!$E$41</definedName>
    <definedName name="木作雜項">#REF!</definedName>
    <definedName name="木門">#REF!</definedName>
    <definedName name="水平支撐第一層_H_300×300">#REF!</definedName>
    <definedName name="水平支撐第二層_H_350×350">#REF!</definedName>
    <definedName name="水平支撐第三層_H_400×400">#REF!</definedName>
    <definedName name="水平支撐第四層_H_400×400">#REF!</definedName>
    <definedName name="火險">#REF!</definedName>
    <definedName name="主軸景觀工程">#REF!</definedName>
    <definedName name="他項1" hidden="1">{#N/A,#N/A,FALSE,"首頁";#N/A,#N/A,FALSE,"美國格式 ";#N/A,#N/A,FALSE,"市  調  案  例";#N/A,#N/A,FALSE,"鑑定表";#N/A,#N/A,FALSE,"建物鑑定表"}</definedName>
    <definedName name="付款方式">[63]Data!$B$10:$B$18</definedName>
    <definedName name="包裝區">#REF!</definedName>
    <definedName name="包裝區標單">#REF!</definedName>
    <definedName name="可銷售金額">[28]銷售假設!$C$14</definedName>
    <definedName name="台北市南港區研究院路一段16號4樓">#REF!</definedName>
    <definedName name="台北市量體" hidden="1">#REF!</definedName>
    <definedName name="四" localSheetId="2">#REF!</definedName>
    <definedName name="四">#REF!</definedName>
    <definedName name="四樓乘數">[55]合建分配!#REF!</definedName>
    <definedName name="外牆">[59]COST1_3!$D$23</definedName>
    <definedName name="外牆工程">#REF!</definedName>
    <definedName name="外觀">'[47]9207物價指數'!$AA$500:$AA$503</definedName>
    <definedName name="市場價格">[62]摘要!$H$6</definedName>
    <definedName name="市價">#REF!</definedName>
    <definedName name="市調1" hidden="1">{#N/A,#N/A,FALSE,"首頁";#N/A,#N/A,FALSE,"美國格式 ";#N/A,#N/A,FALSE,"市  調  案  例";#N/A,#N/A,FALSE,"鑑定表";#N/A,#N/A,FALSE,"建物鑑定表"}</definedName>
    <definedName name="市調2" hidden="1">{#N/A,#N/A,FALSE,"首頁";#N/A,#N/A,FALSE,"美國格式 ";#N/A,#N/A,FALSE,"市  調  案  例";#N/A,#N/A,FALSE,"鑑定表";#N/A,#N/A,FALSE,"建物鑑定表"}</definedName>
    <definedName name="平均每平方公尺拆除工程費用">[33]拆除計畫!$F$14</definedName>
    <definedName name="平均標準單價平方公尺">#REF!</definedName>
    <definedName name="平均標準單價坪">#REF!</definedName>
    <definedName name="平面略圖" hidden="1">{#N/A,#N/A,FALSE,"首頁";#N/A,#N/A,FALSE,"美國格式 ";#N/A,#N/A,FALSE,"市  調  案  例";#N/A,#N/A,FALSE,"鑑定表";#N/A,#N/A,FALSE,"建物鑑定表"}</definedName>
    <definedName name="生活機">'[64]9207物價指數'!$AB$500:$AB$525</definedName>
    <definedName name="生活機能">'[47]9207物價指數'!$Z$500:$Z$503</definedName>
    <definedName name="甲種圍籬_H_240cm">#REF!</definedName>
    <definedName name="申請分配起算日">[33]基礎資料與審議資料!$C$82</definedName>
    <definedName name="白">[25]土地!#REF!</definedName>
    <definedName name="交開發">#REF!</definedName>
    <definedName name="件">[25]土地!#REF!</definedName>
    <definedName name="全套管基椿120cm∮L_28m">#REF!</definedName>
    <definedName name="全區歸人二">CHOOSE(#REF!,MA,MB,[0]!MC,MD,ME,MF,[0]!MG,MH,MI,MJ,MK,ML,MN,MR,MS,MZ)</definedName>
    <definedName name="共同負擔表">#REF!</definedName>
    <definedName name="共同負擔參數">#REF!</definedName>
    <definedName name="共同負擔費用" localSheetId="2">#REF!</definedName>
    <definedName name="共同負擔費用">#REF!</definedName>
    <definedName name="各戶總面積" localSheetId="2">#REF!</definedName>
    <definedName name="各戶總面積">#REF!</definedName>
    <definedName name="合法建築殘餘價值">[65]合法拆補!$C$2</definedName>
    <definedName name="回填夯實">#REF!</definedName>
    <definedName name="地一">#REF!</definedName>
    <definedName name="地二">#REF!</definedName>
    <definedName name="地三">#REF!</definedName>
    <definedName name="地上樓層數">[59]COST1_3!$D$7</definedName>
    <definedName name="地下二大車">[66]車位填表!$C$11</definedName>
    <definedName name="地下二小車">[66]車位填表!$D$11</definedName>
    <definedName name="地下三大車">[66]車位填表!$C$12</definedName>
    <definedName name="地下三小車">[66]車位填表!$D$12</definedName>
    <definedName name="地下四大車">[66]車位填表!$C$13</definedName>
    <definedName name="地下四小車">[66]車位填表!$D$13</definedName>
    <definedName name="地下室安全措施">#REF!</definedName>
    <definedName name="地下室抽排水工程_點井工程">#REF!</definedName>
    <definedName name="地下樓層數">[59]COST1_3!$D$8</definedName>
    <definedName name="地主名冊及聯絡方式" localSheetId="2" hidden="1">#REF!</definedName>
    <definedName name="地主名冊及聯絡方式" hidden="1">#REF!</definedName>
    <definedName name="地坪石材">#REF!</definedName>
    <definedName name="地租成長率">#REF!</definedName>
    <definedName name="地價單價_仟元_坪">#REF!</definedName>
    <definedName name="地盤改良工程D_80cm∮__L_10m">#REF!</definedName>
    <definedName name="地磚">#REF!</definedName>
    <definedName name="地籍整理登記費用">[28]銷售假設!$C$35</definedName>
    <definedName name="安全尼龍網及塑膠帆布及組拆">#REF!</definedName>
    <definedName name="安全圍籬防溢底座">[5]單價分析!#REF!</definedName>
    <definedName name="安泰" hidden="1">{#N/A,#N/A,FALSE,"首頁";#N/A,#N/A,FALSE,"美國格式 ";#N/A,#N/A,FALSE,"市  調  案  例";#N/A,#N/A,FALSE,"鑑定表";#N/A,#N/A,FALSE,"建物鑑定表"}</definedName>
    <definedName name="安泰2" hidden="1">{#N/A,#N/A,FALSE,"首頁";#N/A,#N/A,FALSE,"美國格式 ";#N/A,#N/A,FALSE,"市  調  案  例";#N/A,#N/A,FALSE,"鑑定表";#N/A,#N/A,FALSE,"建物鑑定表"}</definedName>
    <definedName name="安泰檢測表" hidden="1">{#N/A,#N/A,FALSE,"首頁";#N/A,#N/A,FALSE,"美國格式 ";#N/A,#N/A,FALSE,"市  調  案  例";#N/A,#N/A,FALSE,"鑑定表";#N/A,#N/A,FALSE,"建物鑑定表"}</definedName>
    <definedName name="污水處理廠">[4]單價分析!#REF!</definedName>
    <definedName name="竹">#REF!</definedName>
    <definedName name="估價前">#REF!</definedName>
    <definedName name="位置">'[67]9207物價指數'!$Y$500:$Y$523</definedName>
    <definedName name="位置圖" hidden="1">{#N/A,#N/A,FALSE,"首頁";#N/A,#N/A,FALSE,"美國格式 ";#N/A,#N/A,FALSE,"市  調  案  例";#N/A,#N/A,FALSE,"鑑定表";#N/A,#N/A,FALSE,"建物鑑定表"}</definedName>
    <definedName name="住宅單元數">[33]基礎資料與審議資料!$C$25</definedName>
    <definedName name="佔有權利價值">[68]違章處理結果!$F:$F</definedName>
    <definedName name="卵石">[60]基本單價!$E$37</definedName>
    <definedName name="宏大" hidden="1">{#N/A,#N/A,FALSE,"首頁";#N/A,#N/A,FALSE,"美國格式 ";#N/A,#N/A,FALSE,"市  調  案  例";#N/A,#N/A,FALSE,"鑑定表";#N/A,#N/A,FALSE,"建物鑑定表"}</definedName>
    <definedName name="宏大2" hidden="1">{#N/A,#N/A,FALSE,"首頁";#N/A,#N/A,FALSE,"美國格式 ";#N/A,#N/A,FALSE,"市  調  案  例";#N/A,#N/A,FALSE,"鑑定表";#N/A,#N/A,FALSE,"建物鑑定表"}</definedName>
    <definedName name="宏大3" hidden="1">{#N/A,#N/A,FALSE,"首頁";#N/A,#N/A,FALSE,"美國格式 ";#N/A,#N/A,FALSE,"市  調  案  例";#N/A,#N/A,FALSE,"鑑定表";#N/A,#N/A,FALSE,"建物鑑定表"}</definedName>
    <definedName name="宏大4" hidden="1">{#N/A,#N/A,FALSE,"首頁";#N/A,#N/A,FALSE,"美國格式 ";#N/A,#N/A,FALSE,"市  調  案  例";#N/A,#N/A,FALSE,"鑑定表";#N/A,#N/A,FALSE,"建物鑑定表"}</definedName>
    <definedName name="宏大5">'[69]ORIX-AMC範本-20051003'!$H$6</definedName>
    <definedName name="技工">[60]基本單價!$E$61</definedName>
    <definedName name="投標呈核">#REF!</definedName>
    <definedName name="更新">#REF!</definedName>
    <definedName name="每期工程款比例">[68]開發內容假設!$E$42</definedName>
    <definedName name="沉澱池廢土坑施工費_三池5_5_4M">[5]單價分析!#REF!</definedName>
    <definedName name="私有建物公設分析">CHOOSE(#REF!,MA,MB,[0]!MC,MD,ME,MF,[0]!MG,MH,MI,MJ,MK,ML,MN,MR,MS,MZ)</definedName>
    <definedName name="角地乘數">#REF!</definedName>
    <definedName name="車位個數">[61]輸入!#REF!</definedName>
    <definedName name="車位總面積">[61]輸入!#REF!</definedName>
    <definedName name="車位總價">[61]輸入!#REF!</definedName>
    <definedName name="使用參數">#REF!</definedName>
    <definedName name="使用類別" localSheetId="2">[59]COST1_3!#REF!</definedName>
    <definedName name="使用類別">[59]COST1_3!#REF!</definedName>
    <definedName name="坪效分析">#REF!</definedName>
    <definedName name="店價">[55]規劃方案!#REF!</definedName>
    <definedName name="房地總價值" localSheetId="2">#REF!</definedName>
    <definedName name="房地總價值">#REF!</definedName>
    <definedName name="房屋總價">#REF!</definedName>
    <definedName name="房屋總價值">#REF!</definedName>
    <definedName name="房屋總銷售坪">[28]設計假設!$I$43</definedName>
    <definedName name="承攬方式">[63]Data!$B$4:$B$7</definedName>
    <definedName name="抽4">[60]基本單價!$E$25</definedName>
    <definedName name="拆遷安置費">#REF!</definedName>
    <definedName name="拆遷補償費用">[28]獎勵容積!$B$61</definedName>
    <definedName name="放樣工料">#REF!</definedName>
    <definedName name="板料">[60]基本單價!$E$40</definedName>
    <definedName name="法定工程造價" localSheetId="2">#REF!</definedName>
    <definedName name="法定工程造價">#REF!</definedName>
    <definedName name="泥作防水雜項工程">#REF!</definedName>
    <definedName name="物件類型">'[47]9207物價指數'!$AB$500:$AB$525</definedName>
    <definedName name="的">#REF!</definedName>
    <definedName name="社區管理基金">"計入,不計算"</definedName>
    <definedName name="表6">#REF!</definedName>
    <definedName name="表二投評1" hidden="1">{#N/A,#N/A,FALSE,"首頁";#N/A,#N/A,FALSE,"美國格式 ";#N/A,#N/A,FALSE,"市  調  案  例";#N/A,#N/A,FALSE,"鑑定表";#N/A,#N/A,FALSE,"建物鑑定表"}</definedName>
    <definedName name="金屬天花板">#REF!</definedName>
    <definedName name="金屬外牆">#REF!</definedName>
    <definedName name="長春段">[27]土地增值稅!#REF!</definedName>
    <definedName name="대금">#REF!</definedName>
    <definedName name="信用融資利率">#REF!</definedName>
    <definedName name="信貸利率">#REF!</definedName>
    <definedName name="南山檢測表" hidden="1">{#N/A,#N/A,FALSE,"首頁";#N/A,#N/A,FALSE,"美國格式 ";#N/A,#N/A,FALSE,"市  調  案  例";#N/A,#N/A,FALSE,"鑑定表";#N/A,#N/A,FALSE,"建物鑑定表"}</definedName>
    <definedName name="室宜">#REF!</definedName>
    <definedName name="封">#REF!</definedName>
    <definedName name="封面">[62]摘要!$H$6</definedName>
    <definedName name="屋頂防水隔熱">#REF!</definedName>
    <definedName name="建物">CHOOSE(#REF!,MA,MB,[0]!MC,MD,ME,MF,[0]!MG,MH,MI,MJ,MK,ML,MN,MR,MS,MZ)</definedName>
    <definedName name="建物共同使用面積">#REF!</definedName>
    <definedName name="建物共同使用部分面積">#REF!</definedName>
    <definedName name="建物融資利率">[28]銷售假設!$C$40</definedName>
    <definedName name="建物總面積">#REF!</definedName>
    <definedName name="建物總營造成本">#REF!</definedName>
    <definedName name="建蔽率">[59]COST1_3!$D$18</definedName>
    <definedName name="建築">#REF!</definedName>
    <definedName name="建築坪">[59]COST1_3!$D$17</definedName>
    <definedName name="建築面積">#REF!</definedName>
    <definedName name="建築規劃">#REF!</definedName>
    <definedName name="建築設計監造費" localSheetId="2">#REF!</definedName>
    <definedName name="建築設計監造費">#REF!</definedName>
    <definedName name="建築類別" localSheetId="2">[70]造價表!$A$2:$A$18</definedName>
    <definedName name="建築類別">[71]造價表!$A$2:$A$18</definedName>
    <definedName name="按裝工資">#REF!</definedName>
    <definedName name="挖方">#REF!</definedName>
    <definedName name="施工方式">[59]COST1_3!$D$28</definedName>
    <definedName name="施工構台">#REF!</definedName>
    <definedName name="是豔">#N/A</definedName>
    <definedName name="突一">#REF!</definedName>
    <definedName name="突二">#REF!</definedName>
    <definedName name="訂簽款比例">[58]開發內容!$C$32</definedName>
    <definedName name="面積305">#REF!</definedName>
    <definedName name="面積308">#REF!</definedName>
    <definedName name="面積314">#REF!</definedName>
    <definedName name="修改建物清冊">#N/A</definedName>
    <definedName name="原f3">[72]獎勵容積!$E$48</definedName>
    <definedName name="原F5">[72]獎勵容積!$E$54</definedName>
    <definedName name="租金係數">#REF!</definedName>
    <definedName name="粉刷其他裝飾">#REF!</definedName>
    <definedName name="素地基準單價">#REF!</definedName>
    <definedName name="逆打牆柱無收縮水泥灌漿工料費">#REF!</definedName>
    <definedName name="配管另料">#REF!</definedName>
    <definedName name="配線另料">#REF!</definedName>
    <definedName name="假設工程">#REF!</definedName>
    <definedName name="基地面積">#REF!</definedName>
    <definedName name="基地舖面施工費_t_20cm">[5]單價分析!#REF!</definedName>
    <definedName name="基椿試驗費_抗壓、抗拉">#REF!</definedName>
    <definedName name="基準容積">#REF!</definedName>
    <definedName name="基樁工程">#REF!</definedName>
    <definedName name="專有合">#REF!</definedName>
    <definedName name="專業廠">#REF!</definedName>
    <definedName name="強制進位差額">[73]現地安置面積與應分配價值計算表!#REF!</definedName>
    <definedName name="推D7H">[60]基本單價!$E$7</definedName>
    <definedName name="棄土">[4]單價分析!#REF!</definedName>
    <definedName name="清水模板工料">#REF!</definedName>
    <definedName name="清冊2">CHOOSE(#REF!,MA,MB,[0]!MC,MD,ME,MF,[0]!MG,MH,MI,MJ,MK,ML,MN,MR,MS,MZ)</definedName>
    <definedName name="清模">#REF!</definedName>
    <definedName name="粗砂">[60]基本單價!$E$39</definedName>
    <definedName name="組合式固定圍籬_鍍鋅鋼板">[5]單價分析!#REF!</definedName>
    <definedName name="組合房屋辦公室及倉庫_含辦公室設備">[5]單價分析!#REF!</definedName>
    <definedName name="組裝工資">#REF!</definedName>
    <definedName name="設計費用">[28]銷售假設!$C$20</definedName>
    <definedName name="連續壁工程">#REF!</definedName>
    <definedName name="連續壁接頭止水凝結樁施工費∮35cm">[5]單價分析!#REF!</definedName>
    <definedName name="連續壁週長">[59]COST1_3!$D$12</definedName>
    <definedName name="都市計劃">#REF!</definedName>
    <definedName name="勞工安全衛生費_0.3">#REF!</definedName>
    <definedName name="勞安衛照片" hidden="1">{#N/A,#N/A,TRUE,"項次";#N/A,#N/A,TRUE,"月報封面";#N/A,#N/A,TRUE,"工地基本資料";#N/A,#N/A,TRUE,"全程營運控制表";#N/A,#N/A,TRUE,"雙週進度表";#N/A,#N/A,TRUE,"支出統計表";#N/A,#N/A,TRUE,"收入統計表";#N/A,#N/A,TRUE,"收支差異統計表 ";#N/A,#N/A,TRUE,"工率分析統計表"}</definedName>
    <definedName name="報">#N/A</definedName>
    <definedName name="普通模板工料">#REF!</definedName>
    <definedName name="普模">#REF!</definedName>
    <definedName name="景觀植栽工程">#REF!</definedName>
    <definedName name="筏基內回填105kg_cm2劣質混凝土">#REF!</definedName>
    <definedName name="筏基內回填土方">#REF!</definedName>
    <definedName name="結構體工程">#REF!</definedName>
    <definedName name="華中段">[74]土地!#REF!</definedName>
    <definedName name="評估處分難易度">'[47]9207物價指數'!$AC$500:$AC$503</definedName>
    <definedName name="買賣1">#REF!</definedName>
    <definedName name="費用總表">[7]外15薪基84!#REF!</definedName>
    <definedName name="開工款比例">[58]開發內容!$C$33</definedName>
    <definedName name="開挖深度">[59]COST1_3!$D$10</definedName>
    <definedName name="債権譲渡日">#REF!</definedName>
    <definedName name="傾卸8">[60]基本單價!$E$24</definedName>
    <definedName name="填方">#REF!</definedName>
    <definedName name="搬遷補償費">[65]合法拆補!$C$3</definedName>
    <definedName name="新工作表">#REF!</definedName>
    <definedName name="新工作表1">#REF!</definedName>
    <definedName name="新工作表10">#REF!</definedName>
    <definedName name="新工作表2">#REF!</definedName>
    <definedName name="新工作表3">#REF!</definedName>
    <definedName name="新工作表4">#REF!</definedName>
    <definedName name="新工作表5">#REF!</definedName>
    <definedName name="新工作表6">#REF!</definedName>
    <definedName name="新工作表7">#REF!</definedName>
    <definedName name="新工作表8">#REF!</definedName>
    <definedName name="新工作表9">#REF!</definedName>
    <definedName name="新的">#REF!</definedName>
    <definedName name="概算">[75]工程預算表!$1:$7</definedName>
    <definedName name="溝46">[4]單價分析!#REF!</definedName>
    <definedName name="照片擋">#REF!</definedName>
    <definedName name="碎石級配">[60]基本單價!$E$34</definedName>
    <definedName name="補助款">#REF!</definedName>
    <definedName name="試算價格">[31]土地!#REF!</definedName>
    <definedName name="運什費">#REF!</definedName>
    <definedName name="運雜費">#REF!</definedName>
    <definedName name="違建面積">[28]獎勵容積!$B$58</definedName>
    <definedName name="違章戶權利價值">#REF!</definedName>
    <definedName name="電線及端子另料">#REF!</definedName>
    <definedName name="預算">[76]工程預算表!$IK$2575</definedName>
    <definedName name="預壘樁__L_18M___∮55cm">#REF!</definedName>
    <definedName name="預壘樁__L_9M___∮30cm">#REF!</definedName>
    <definedName name="鼓勵係數">#REF!</definedName>
    <definedName name="圖">#REF!</definedName>
    <definedName name="圖片1">#REF!</definedName>
    <definedName name="廖偉光" localSheetId="2">#REF!</definedName>
    <definedName name="廖偉光">#REF!</definedName>
    <definedName name="徹">[25]土地!#REF!</definedName>
    <definedName name="構造方式">[59]COST1_3!$D$13</definedName>
    <definedName name="窩">#REF!</definedName>
    <definedName name="管理基金" localSheetId="2">#REF!</definedName>
    <definedName name="管理基金">#REF!</definedName>
    <definedName name="管理費用">#REF!</definedName>
    <definedName name="銀貸利率">#REF!</definedName>
    <definedName name="銅排及另料">#REF!</definedName>
    <definedName name="價值表">#REF!</definedName>
    <definedName name="廣告銷售費用">#REF!</definedName>
    <definedName name="標準層樓高">[59]COST1_3!$D$14</definedName>
    <definedName name="複委名稱">#REF!</definedName>
    <definedName name="豎井">[4]單價分析!#REF!</definedName>
    <definedName name="踢腳">#REF!</definedName>
    <definedName name="鄰房托基凝結樁施工費∮60cm">[5]單價分析!#REF!</definedName>
    <definedName name="鄰房鑑定費">[5]單價分析!#REF!</definedName>
    <definedName name="銷售費用">[28]銷售假設!$C$22</definedName>
    <definedName name="鋁門窗">#REF!</definedName>
    <definedName name="鋪點焊鋼絲網工料">#REF!</definedName>
    <definedName name="擔保品座落縣市">'[47]9207物價指數'!$Y$500:$Y$523</definedName>
    <definedName name="擔保品種類代碼">[77]代碼檔!#REF!</definedName>
    <definedName name="擔品座落縣市">'[64]9207物價指數'!$Y$500:$Y$523</definedName>
    <definedName name="整地工程">#REF!</definedName>
    <definedName name="機具挖方廢土方運棄">#REF!</definedName>
    <definedName name="融資比例">[28]銷售假設!$F$39</definedName>
    <definedName name="融資利息金額">#REF!</definedName>
    <definedName name="選單範圍1">#N/A</definedName>
    <definedName name="選單範圍2">#N/A</definedName>
    <definedName name="選單範圍3">#N/A</definedName>
    <definedName name="選單範圍4">#N/A</definedName>
    <definedName name="選單範圍5">#N/A</definedName>
    <definedName name="選單範圍6">#N/A</definedName>
    <definedName name="選單範圍7">#N/A</definedName>
    <definedName name="選單範圍8">#N/A</definedName>
    <definedName name="選單範圍9">#N/A</definedName>
    <definedName name="鋼承板工程">#REF!</definedName>
    <definedName name="鋼板椿_L_13m">#REF!</definedName>
    <definedName name="鋼板椿_L_16m">#REF!</definedName>
    <definedName name="鋼板椿_L_18m">#REF!</definedName>
    <definedName name="鋼板椿_L_6m">#REF!</definedName>
    <definedName name="鋼板椿_L_9m">#REF!</definedName>
    <definedName name="鋼軌椿_L_10m_______37kg_m">#REF!</definedName>
    <definedName name="鋼軌椿_L_12m_______40kg_m">#REF!</definedName>
    <definedName name="鋼軌椿_L_14m_______50kg_m">#REF!</definedName>
    <definedName name="鋼軌椿_L_6m_______37kg_m">#REF!</definedName>
    <definedName name="鋼軌椿_L_8m_______37kg_m">#REF!</definedName>
    <definedName name="鋼骨鋼筋續接器32mm∮及組裝">#REF!</definedName>
    <definedName name="鋼筋">[60]基本單價!$E$29</definedName>
    <definedName name="鋼筋加工及彎紮Fy_2800kg_cm2">#REF!</definedName>
    <definedName name="鋼筋加工及彎紮Fy_4200kg_cm2">#REF!</definedName>
    <definedName name="鋼筋續接器19mm∮及組裝">#REF!</definedName>
    <definedName name="鋼筋續接器22mm∮及組裝">#REF!</definedName>
    <definedName name="鋼筋續接器25mm∮及組裝">#REF!</definedName>
    <definedName name="鋼筋續接器32mm∮及組裝">#REF!</definedName>
    <definedName name="鋼構工程">#REF!</definedName>
    <definedName name="鋼構防火被覆工程">#REF!</definedName>
    <definedName name="鋼管排架及組拆_三層">#REF!</definedName>
    <definedName name="鋼管排架及組拆_兩層">#REF!</definedName>
    <definedName name="鋼管鷹架及組拆">#REF!</definedName>
    <definedName name="鋼管鷹架及組拆_落地架">#REF!</definedName>
    <definedName name="檔">#REF!</definedName>
    <definedName name="營建成本">[58]開發內容!$F$42</definedName>
    <definedName name="營建成本單價">[28]獎勵容積!$B$39</definedName>
    <definedName name="營業加值稅">#REF!</definedName>
    <definedName name="牆面工程">#REF!</definedName>
    <definedName name="環境1" hidden="1">{#N/A,#N/A,FALSE,"首頁";#N/A,#N/A,FALSE,"美國格式 ";#N/A,#N/A,FALSE,"市  調  案  例";#N/A,#N/A,FALSE,"鑑定表";#N/A,#N/A,FALSE,"建物鑑定表"}</definedName>
    <definedName name="總">[48]單價分析!#REF!</definedName>
    <definedName name="總戶數" localSheetId="2">#REF!</definedName>
    <definedName name="總戶數">#REF!</definedName>
    <definedName name="總成本" localSheetId="2">#REF!</definedName>
    <definedName name="總成本">#REF!</definedName>
    <definedName name="總表">[77]摘要!$H$6</definedName>
    <definedName name="總建坪" localSheetId="2">#REF!</definedName>
    <definedName name="總建坪">#REF!</definedName>
    <definedName name="總建坪1" localSheetId="2">#REF!</definedName>
    <definedName name="總建坪1">#REF!</definedName>
    <definedName name="總建坪價" localSheetId="2">#REF!</definedName>
    <definedName name="總建坪價">#REF!</definedName>
    <definedName name="總建坪價1" localSheetId="2">#REF!</definedName>
    <definedName name="總建坪價1">#REF!</definedName>
    <definedName name="總開發成本" localSheetId="2">#REF!</definedName>
    <definedName name="總開發成本">#REF!</definedName>
    <definedName name="總樓地板" localSheetId="2">#REF!</definedName>
    <definedName name="總樓地板">#REF!</definedName>
    <definedName name="總銷售金額">[58]開發內容!$F$37</definedName>
    <definedName name="總營建成本" localSheetId="2">#REF!</definedName>
    <definedName name="總營建成本">#REF!</definedName>
    <definedName name="總營建面積">[28]設計假設!$C$11</definedName>
    <definedName name="購屋貸款比例">[68]開發內容假設!$C$41</definedName>
    <definedName name="舊違章建築戶拆除費">[65]拆除計畫!$C$6</definedName>
    <definedName name="豐田段">[27]土地增值稅!#REF!</definedName>
    <definedName name="雜項另料">#REF!</definedName>
    <definedName name="별도합산">#REF!</definedName>
    <definedName name="분리과세">#REF!</definedName>
    <definedName name="護坡舖鋼絲網噴漿處理">#REF!</definedName>
    <definedName name="護欄">[4]單價分析!#REF!</definedName>
    <definedName name="鐵件雜項工程">#REF!</definedName>
    <definedName name="鐵門">#REF!</definedName>
    <definedName name="鐵捲門">#REF!</definedName>
    <definedName name="鐵絲">[60]基本單價!$E$43</definedName>
    <definedName name="權利變換費用">#REF!</definedName>
    <definedName name="灑8">[60]基本單價!$E$23</definedName>
    <definedName name="鑑價日">[61]輸入!#REF!</definedName>
    <definedName name="세금종류">#REF!</definedName>
    <definedName name="觀測系統">#REF!</definedName>
    <definedName name="종합합산">#REF!</definedName>
    <definedName name="환율">#REF!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5" l="1"/>
  <c r="F2" i="5"/>
  <c r="F1" i="5"/>
  <c r="C6" i="3" s="1"/>
  <c r="D11" i="6"/>
  <c r="C12" i="6"/>
  <c r="C11" i="6"/>
  <c r="C10" i="6"/>
  <c r="B6" i="6"/>
  <c r="D12" i="6" s="1"/>
  <c r="F12" i="6" s="1"/>
  <c r="G12" i="6" s="1"/>
  <c r="F15" i="6"/>
  <c r="G15" i="6" s="1"/>
  <c r="F14" i="6"/>
  <c r="G14" i="6" s="1"/>
  <c r="F13" i="6"/>
  <c r="G13" i="6" s="1"/>
  <c r="C8" i="3" l="1"/>
  <c r="D10" i="6"/>
  <c r="F11" i="6"/>
  <c r="G11" i="6" s="1"/>
  <c r="C16" i="6"/>
  <c r="F10" i="6"/>
  <c r="G10" i="6" s="1"/>
  <c r="D16" i="6"/>
  <c r="E37" i="5"/>
  <c r="E29" i="5"/>
  <c r="E19" i="5"/>
  <c r="E30" i="5" l="1"/>
  <c r="E40" i="5" s="1"/>
  <c r="G16" i="6"/>
  <c r="F16" i="6"/>
  <c r="F24" i="5" l="1"/>
  <c r="F38" i="5"/>
  <c r="F39" i="5"/>
  <c r="F31" i="5"/>
  <c r="F35" i="5"/>
  <c r="F34" i="5"/>
  <c r="F33" i="5"/>
  <c r="F32" i="5"/>
  <c r="F36" i="5"/>
  <c r="F10" i="5"/>
  <c r="F29" i="5"/>
  <c r="F28" i="5"/>
  <c r="F27" i="5"/>
  <c r="F26" i="5"/>
  <c r="F22" i="5"/>
  <c r="F21" i="5"/>
  <c r="F20" i="5"/>
  <c r="F30" i="5"/>
  <c r="F25" i="5"/>
  <c r="F23" i="5"/>
  <c r="F8" i="5"/>
  <c r="F9" i="5"/>
  <c r="F12" i="5"/>
  <c r="F13" i="5"/>
  <c r="F14" i="5"/>
  <c r="F15" i="5"/>
  <c r="F16" i="5"/>
  <c r="F17" i="5"/>
  <c r="F18" i="5"/>
  <c r="F6" i="5"/>
  <c r="F7" i="5"/>
  <c r="F11" i="5"/>
  <c r="C40" i="2"/>
  <c r="C8" i="2"/>
  <c r="C9" i="3"/>
  <c r="E7" i="3" s="1"/>
  <c r="C17" i="3" s="1"/>
  <c r="C51" i="2"/>
  <c r="F37" i="5" l="1"/>
  <c r="F40" i="5" s="1"/>
  <c r="F19" i="5"/>
  <c r="C34" i="3"/>
  <c r="D34" i="3" s="1"/>
  <c r="D26" i="3"/>
  <c r="E22" i="3"/>
  <c r="E15" i="3"/>
  <c r="D14" i="3"/>
  <c r="C13" i="3"/>
  <c r="C35" i="3" s="1"/>
  <c r="E3" i="3"/>
  <c r="E17" i="3" l="1"/>
  <c r="E23" i="3" s="1"/>
  <c r="E6" i="3"/>
  <c r="D13" i="3"/>
  <c r="C7" i="3"/>
  <c r="C15" i="3" l="1"/>
  <c r="D15" i="3" s="1"/>
  <c r="D17" i="3"/>
  <c r="C21" i="3"/>
  <c r="D21" i="3" s="1"/>
  <c r="C20" i="3"/>
  <c r="D20" i="3" s="1"/>
  <c r="C19" i="3"/>
  <c r="D19" i="3" s="1"/>
  <c r="D35" i="3"/>
  <c r="C22" i="3" l="1"/>
  <c r="D22" i="3" s="1"/>
  <c r="C50" i="2"/>
  <c r="E50" i="2" s="1"/>
  <c r="D49" i="2"/>
  <c r="D26" i="2"/>
  <c r="E22" i="2"/>
  <c r="E23" i="2" s="1"/>
  <c r="D14" i="2"/>
  <c r="E3" i="2"/>
  <c r="E6" i="2" l="1"/>
  <c r="C13" i="2"/>
  <c r="D13" i="2" l="1"/>
  <c r="C35" i="2"/>
  <c r="E7" i="2"/>
  <c r="C17" i="2" s="1"/>
  <c r="C7" i="2"/>
  <c r="E15" i="2" l="1"/>
  <c r="C15" i="2"/>
  <c r="D15" i="2" s="1"/>
  <c r="C22" i="2"/>
  <c r="D22" i="2" s="1"/>
  <c r="C21" i="2"/>
  <c r="D21" i="2" s="1"/>
  <c r="C20" i="2"/>
  <c r="D20" i="2" s="1"/>
  <c r="C19" i="2"/>
  <c r="D19" i="2" s="1"/>
  <c r="C18" i="2"/>
  <c r="D18" i="2" s="1"/>
  <c r="D17" i="2"/>
  <c r="D35" i="2"/>
  <c r="C23" i="2" l="1"/>
  <c r="D23" i="2" l="1"/>
  <c r="C24" i="2"/>
  <c r="C29" i="2"/>
  <c r="D29" i="2" s="1"/>
  <c r="C37" i="2"/>
  <c r="C28" i="2"/>
  <c r="D28" i="2" s="1"/>
  <c r="D37" i="2" l="1"/>
  <c r="D24" i="2"/>
  <c r="C25" i="2"/>
  <c r="C30" i="2" s="1"/>
  <c r="E30" i="2" s="1"/>
  <c r="C52" i="2" s="1"/>
  <c r="C53" i="2" s="1"/>
  <c r="C16" i="2"/>
  <c r="D16" i="2" l="1"/>
  <c r="E16" i="2"/>
  <c r="C27" i="2" s="1"/>
  <c r="C32" i="2"/>
  <c r="C54" i="2"/>
  <c r="E54" i="2" s="1"/>
  <c r="C31" i="2"/>
  <c r="D25" i="2"/>
  <c r="C41" i="2"/>
  <c r="C48" i="2" l="1"/>
  <c r="D48" i="2" s="1"/>
  <c r="D41" i="2"/>
  <c r="C33" i="2"/>
  <c r="D31" i="2"/>
  <c r="C34" i="2" s="1"/>
  <c r="D34" i="2" s="1"/>
  <c r="D32" i="2"/>
  <c r="D27" i="2"/>
  <c r="C39" i="2" l="1"/>
  <c r="D40" i="2"/>
  <c r="D39" i="2"/>
  <c r="E31" i="2"/>
  <c r="D33" i="2"/>
  <c r="C38" i="2" l="1"/>
  <c r="E35" i="2"/>
  <c r="C11" i="2" l="1"/>
  <c r="C36" i="2"/>
  <c r="C42" i="2"/>
  <c r="E38" i="2"/>
  <c r="D38" i="2"/>
  <c r="F38" i="2"/>
  <c r="D36" i="2" l="1"/>
  <c r="C44" i="2"/>
  <c r="D44" i="2" s="1"/>
  <c r="E44" i="2" s="1"/>
  <c r="C45" i="2"/>
  <c r="D42" i="2"/>
  <c r="C43" i="2"/>
  <c r="D43" i="2" s="1"/>
  <c r="C47" i="2" l="1"/>
  <c r="C46" i="2"/>
  <c r="E45" i="2"/>
  <c r="D45" i="2"/>
  <c r="C18" i="3" l="1"/>
  <c r="D18" i="3" s="1"/>
  <c r="C23" i="3" l="1"/>
  <c r="C29" i="3" l="1"/>
  <c r="D29" i="3" s="1"/>
  <c r="C24" i="3"/>
  <c r="C37" i="3"/>
  <c r="D23" i="3"/>
  <c r="D37" i="3" l="1"/>
  <c r="C25" i="3"/>
  <c r="C31" i="3" s="1"/>
  <c r="E31" i="3" s="1"/>
  <c r="C28" i="3"/>
  <c r="D28" i="3" s="1"/>
  <c r="D24" i="3"/>
  <c r="D25" i="3" l="1"/>
  <c r="C30" i="3"/>
  <c r="E30" i="3" s="1"/>
  <c r="C33" i="3"/>
  <c r="C32" i="3" l="1"/>
  <c r="C39" i="3" s="1"/>
  <c r="C52" i="3"/>
  <c r="D33" i="3"/>
  <c r="D32" i="3" l="1"/>
  <c r="C53" i="3"/>
  <c r="C54" i="3" s="1"/>
  <c r="C40" i="3"/>
  <c r="D40" i="3" s="1"/>
  <c r="D39" i="3"/>
  <c r="E35" i="3" l="1"/>
  <c r="C42" i="3" s="1"/>
  <c r="C38" i="3"/>
  <c r="E38" i="3" s="1"/>
  <c r="C36" i="3"/>
  <c r="F38" i="3" l="1"/>
  <c r="D38" i="3"/>
  <c r="D42" i="3"/>
  <c r="D36" i="3"/>
  <c r="C51" i="3"/>
  <c r="E54" i="3" s="1"/>
  <c r="C11" i="3"/>
  <c r="E50" i="3"/>
  <c r="C16" i="3"/>
  <c r="D16" i="3" s="1"/>
  <c r="C50" i="3"/>
  <c r="D49" i="3"/>
  <c r="E16" i="3" l="1"/>
  <c r="C27" i="3" s="1"/>
  <c r="C45" i="3" s="1"/>
  <c r="C44" i="3"/>
  <c r="D44" i="3" s="1"/>
  <c r="E44" i="3" s="1"/>
  <c r="D27" i="3" l="1"/>
  <c r="C41" i="3"/>
  <c r="D45" i="3"/>
  <c r="E45" i="3"/>
  <c r="C47" i="3"/>
  <c r="C46" i="3"/>
  <c r="C48" i="3" l="1"/>
  <c r="D48" i="3" s="1"/>
  <c r="D41" i="3"/>
  <c r="C43" i="3"/>
  <c r="D43" i="3" s="1"/>
</calcChain>
</file>

<file path=xl/sharedStrings.xml><?xml version="1.0" encoding="utf-8"?>
<sst xmlns="http://schemas.openxmlformats.org/spreadsheetml/2006/main" count="370" uniqueCount="256">
  <si>
    <t>建築量體分析表</t>
    <phoneticPr fontId="4" type="noConversion"/>
  </si>
  <si>
    <t>地主比例</t>
    <phoneticPr fontId="4" type="noConversion"/>
  </si>
  <si>
    <t>公司比例</t>
    <phoneticPr fontId="4" type="noConversion"/>
  </si>
  <si>
    <t>案件編號：</t>
    <phoneticPr fontId="4" type="noConversion"/>
  </si>
  <si>
    <t>個案基本資料</t>
    <phoneticPr fontId="4" type="noConversion"/>
  </si>
  <si>
    <t>基地位置</t>
    <phoneticPr fontId="4" type="noConversion"/>
  </si>
  <si>
    <t>基地地段</t>
    <phoneticPr fontId="4" type="noConversion"/>
  </si>
  <si>
    <t>基地面積</t>
  </si>
  <si>
    <t>法定建蔽率/容積率</t>
    <phoneticPr fontId="16" type="noConversion"/>
  </si>
  <si>
    <t>分區-商3</t>
    <phoneticPr fontId="4" type="noConversion"/>
  </si>
  <si>
    <t>分區-住宅區</t>
    <phoneticPr fontId="4" type="noConversion"/>
  </si>
  <si>
    <t>法定開挖率上限:((643.55-500)x60%+(500x70%))/643.55=67.77%</t>
    <phoneticPr fontId="4" type="noConversion"/>
  </si>
  <si>
    <t>面前道路寬度</t>
  </si>
  <si>
    <t>計畫道路</t>
    <phoneticPr fontId="4" type="noConversion"/>
  </si>
  <si>
    <t>建築量體</t>
    <phoneticPr fontId="16" type="noConversion"/>
  </si>
  <si>
    <t>建築型態</t>
    <phoneticPr fontId="16" type="noConversion"/>
  </si>
  <si>
    <t>住宅</t>
    <phoneticPr fontId="4" type="noConversion"/>
  </si>
  <si>
    <t>依實際設計計算</t>
    <phoneticPr fontId="16" type="noConversion"/>
  </si>
  <si>
    <t>量   體   分   析   項   目</t>
    <phoneticPr fontId="4" type="noConversion"/>
  </si>
  <si>
    <t>平方公尺</t>
  </si>
  <si>
    <t>坪</t>
  </si>
  <si>
    <t>其他/合計</t>
    <phoneticPr fontId="4" type="noConversion"/>
  </si>
  <si>
    <t>計算式說明</t>
    <phoneticPr fontId="4" type="noConversion"/>
  </si>
  <si>
    <t>建築基地</t>
    <phoneticPr fontId="16" type="noConversion"/>
  </si>
  <si>
    <t>可用基地面積</t>
    <phoneticPr fontId="4" type="noConversion"/>
  </si>
  <si>
    <t>法定騎樓面積</t>
    <phoneticPr fontId="16" type="noConversion"/>
  </si>
  <si>
    <t>法定建築面積</t>
    <phoneticPr fontId="16" type="noConversion"/>
  </si>
  <si>
    <t>實設建築面積</t>
    <phoneticPr fontId="16" type="noConversion"/>
  </si>
  <si>
    <t>允建總容積</t>
    <phoneticPr fontId="4" type="noConversion"/>
  </si>
  <si>
    <t>基準容積</t>
    <phoneticPr fontId="4" type="noConversion"/>
  </si>
  <si>
    <t>容積移轉(需費用)</t>
    <phoneticPr fontId="16" type="noConversion"/>
  </si>
  <si>
    <t xml:space="preserve"> 本案僅能繳納容移代金</t>
    <phoneticPr fontId="4" type="noConversion"/>
  </si>
  <si>
    <t xml:space="preserve">走防災都更2.0 都計變更程序 </t>
    <phoneticPr fontId="4" type="noConversion"/>
  </si>
  <si>
    <t>都市更新獎勵容積</t>
    <phoneticPr fontId="16" type="noConversion"/>
  </si>
  <si>
    <t>原容積推算</t>
    <phoneticPr fontId="4" type="noConversion"/>
  </si>
  <si>
    <t>其他土管獎勵容積</t>
    <phoneticPr fontId="16" type="noConversion"/>
  </si>
  <si>
    <t>獎勵容積總合</t>
    <phoneticPr fontId="16" type="noConversion"/>
  </si>
  <si>
    <t>新北市獎勵上限20%</t>
    <phoneticPr fontId="4" type="noConversion"/>
  </si>
  <si>
    <t>基準容積+容移增加容積+開放空間獎勵容積+都更獎勵容積+海砂屋獎勵容積+土管獎勵容積</t>
    <phoneticPr fontId="4" type="noConversion"/>
  </si>
  <si>
    <t>地上層建築面積</t>
    <phoneticPr fontId="4" type="noConversion"/>
  </si>
  <si>
    <t>機房免計容積</t>
    <phoneticPr fontId="16" type="noConversion"/>
  </si>
  <si>
    <t>(可建總容積－停獎增加容積－海砂屋獎勵容積)×15%</t>
    <phoneticPr fontId="4" type="noConversion"/>
  </si>
  <si>
    <t>梯廳免計容積面積</t>
    <phoneticPr fontId="16" type="noConversion"/>
  </si>
  <si>
    <t>(可建總容積+機房免計容積)/0.95×5%</t>
    <phoneticPr fontId="4" type="noConversion"/>
  </si>
  <si>
    <t>1F車道 + 人行步道面積</t>
    <phoneticPr fontId="16" type="noConversion"/>
  </si>
  <si>
    <t>屋突總面積</t>
    <phoneticPr fontId="4" type="noConversion"/>
  </si>
  <si>
    <t>(可用基地面積×規劃建蔽率)/8×屋突樓層數</t>
    <phoneticPr fontId="4" type="noConversion"/>
  </si>
  <si>
    <t>陽台面積</t>
    <phoneticPr fontId="16" type="noConversion"/>
  </si>
  <si>
    <t>(可建總容積+機房免計容積)/0.95×10%</t>
    <phoneticPr fontId="4" type="noConversion"/>
  </si>
  <si>
    <t>不計入容積雨遮</t>
    <phoneticPr fontId="16" type="noConversion"/>
  </si>
  <si>
    <t>可建總容積×雨遮所佔總容積比例</t>
    <phoneticPr fontId="4" type="noConversion"/>
  </si>
  <si>
    <t>地下層建築面積</t>
    <phoneticPr fontId="4" type="noConversion"/>
  </si>
  <si>
    <t>汽車停車位</t>
    <phoneticPr fontId="16" type="noConversion"/>
  </si>
  <si>
    <t>機車位 / 腳踏車位</t>
    <phoneticPr fontId="16" type="noConversion"/>
  </si>
  <si>
    <t>新北市一戶一機車+腳踏車位數量(機車位*0.25)</t>
    <phoneticPr fontId="4" type="noConversion"/>
  </si>
  <si>
    <t>汽車位面積</t>
    <phoneticPr fontId="16" type="noConversion"/>
  </si>
  <si>
    <t>機車位面積</t>
    <phoneticPr fontId="16" type="noConversion"/>
  </si>
  <si>
    <t>機車位數量×機車位面積</t>
    <phoneticPr fontId="4" type="noConversion"/>
  </si>
  <si>
    <t>腳踏車位面積</t>
    <phoneticPr fontId="4" type="noConversion"/>
  </si>
  <si>
    <t>地下層單層面積</t>
    <phoneticPr fontId="16" type="noConversion"/>
  </si>
  <si>
    <t>可用基地面積×規劃開挖率</t>
    <phoneticPr fontId="4" type="noConversion"/>
  </si>
  <si>
    <t>地下層樓梯間面積</t>
    <phoneticPr fontId="16" type="noConversion"/>
  </si>
  <si>
    <t>地下層機房</t>
    <phoneticPr fontId="16" type="noConversion"/>
  </si>
  <si>
    <t>可建總容積×地下層機房所佔總容積比例</t>
    <phoneticPr fontId="4" type="noConversion"/>
  </si>
  <si>
    <t>地下室可增設公設面積</t>
    <phoneticPr fontId="16" type="noConversion"/>
  </si>
  <si>
    <t>地下室開挖層數×地下層單層面積－地下室開挖面積概估</t>
    <phoneticPr fontId="4" type="noConversion"/>
  </si>
  <si>
    <t>地下室開挖面積概估</t>
    <phoneticPr fontId="16" type="noConversion"/>
  </si>
  <si>
    <t>機車位面積+汽車位面積+地下層機房</t>
    <phoneticPr fontId="4" type="noConversion"/>
  </si>
  <si>
    <t>地下室開挖層數</t>
    <phoneticPr fontId="16" type="noConversion"/>
  </si>
  <si>
    <t>地下室開挖面積概估/地下層單層面積</t>
    <phoneticPr fontId="4" type="noConversion"/>
  </si>
  <si>
    <t>地上樓地板面積</t>
    <phoneticPr fontId="16" type="noConversion"/>
  </si>
  <si>
    <t>法定騎樓面積+允建總容積+梯廳免計容積+(1F車道 + 人行步道面積)+機房免計容積+屋突總面積</t>
    <phoneticPr fontId="4" type="noConversion"/>
  </si>
  <si>
    <t>地下樓地板面積</t>
    <phoneticPr fontId="16" type="noConversion"/>
  </si>
  <si>
    <t>地下層單層面積×地下室開挖層數</t>
    <phoneticPr fontId="4" type="noConversion"/>
  </si>
  <si>
    <t>總樓地板面積</t>
  </si>
  <si>
    <t>地上樓地板面積+地下樓地板面積</t>
    <phoneticPr fontId="4" type="noConversion"/>
  </si>
  <si>
    <t>總銷售面積</t>
  </si>
  <si>
    <t>公設</t>
    <phoneticPr fontId="16" type="noConversion"/>
  </si>
  <si>
    <t>梯廳免計容積面積+(1F車道 + 人行步道面積)+機房免計容積+屋突總面積+機車位面積+地下層樓梯間面積+地下層機房</t>
    <phoneticPr fontId="4" type="noConversion"/>
  </si>
  <si>
    <t>容積坪效</t>
    <phoneticPr fontId="16" type="noConversion"/>
  </si>
  <si>
    <t>登記銷售產權面積/可建總容積</t>
    <phoneticPr fontId="4" type="noConversion"/>
  </si>
  <si>
    <t>土地坪效</t>
    <phoneticPr fontId="16" type="noConversion"/>
  </si>
  <si>
    <t>登記銷售產權面積/基地面積</t>
    <phoneticPr fontId="4" type="noConversion"/>
  </si>
  <si>
    <t>產品概述</t>
    <phoneticPr fontId="4" type="noConversion"/>
  </si>
  <si>
    <t>預估基本樓層</t>
    <phoneticPr fontId="16" type="noConversion"/>
  </si>
  <si>
    <t>(地上樓地板面積－屋突總面積)/法定建築面積</t>
    <phoneticPr fontId="4" type="noConversion"/>
  </si>
  <si>
    <t>設計樓層</t>
    <phoneticPr fontId="16" type="noConversion"/>
  </si>
  <si>
    <t>單層面積</t>
    <phoneticPr fontId="16" type="noConversion"/>
  </si>
  <si>
    <t>預估戶數</t>
    <phoneticPr fontId="16" type="noConversion"/>
  </si>
  <si>
    <t>假設一樓店鋪1戶、2~10Fx4戶/層=36戶、11F 2戶/層，共計39戶</t>
    <phoneticPr fontId="4" type="noConversion"/>
  </si>
  <si>
    <t>建方分得車位</t>
    <phoneticPr fontId="4" type="noConversion"/>
  </si>
  <si>
    <t>預計採升降平面+機械車位</t>
    <phoneticPr fontId="4" type="noConversion"/>
  </si>
  <si>
    <t>地主分得車位</t>
    <phoneticPr fontId="4" type="noConversion"/>
  </si>
  <si>
    <t>合計車位</t>
    <phoneticPr fontId="16" type="noConversion"/>
  </si>
  <si>
    <t>防災/危老獎勵值</t>
    <phoneticPr fontId="4" type="noConversion"/>
  </si>
  <si>
    <t>新北市</t>
    <phoneticPr fontId="4" type="noConversion"/>
  </si>
  <si>
    <t>分區-第3種住宅區</t>
    <phoneticPr fontId="4" type="noConversion"/>
  </si>
  <si>
    <t>分區-道路</t>
    <phoneticPr fontId="4" type="noConversion"/>
  </si>
  <si>
    <t>獎勵上限50%， 基準容積+容移增加容積+土管獎勵容積</t>
    <phoneticPr fontId="4" type="noConversion"/>
  </si>
  <si>
    <t xml:space="preserve"> =ROUNDUP((C23+C24+C25)/120,0)</t>
    <phoneticPr fontId="4" type="noConversion"/>
  </si>
  <si>
    <t xml:space="preserve"> =ROUNDUP((C23+C24+C25)/100,0)</t>
    <phoneticPr fontId="4" type="noConversion"/>
  </si>
  <si>
    <t>預計採平面</t>
    <phoneticPr fontId="4" type="noConversion"/>
  </si>
  <si>
    <t>台北市</t>
    <phoneticPr fontId="4" type="noConversion"/>
  </si>
  <si>
    <t>○○街(11M)</t>
    <phoneticPr fontId="4" type="noConversion"/>
  </si>
  <si>
    <t>數值需手動輸入</t>
    <phoneticPr fontId="1" type="noConversion"/>
  </si>
  <si>
    <t>法定騎樓面積+允建總容積+梯廳免計容積面積+機房免計容積+屋突總面積+陽台面積+機車位面積+地下層樓梯間面積+地下層機房(刪除不計入容積雨遮)</t>
    <phoneticPr fontId="4" type="noConversion"/>
  </si>
  <si>
    <r>
      <t xml:space="preserve">停車位數量×停車位面積 </t>
    </r>
    <r>
      <rPr>
        <b/>
        <sz val="12"/>
        <color theme="1"/>
        <rFont val="微軟正黑體"/>
        <family val="2"/>
        <charset val="136"/>
      </rPr>
      <t>※假設機械車位面積為25m2</t>
    </r>
    <phoneticPr fontId="4" type="noConversion"/>
  </si>
  <si>
    <r>
      <t xml:space="preserve">腳踏車位數量*腳踏車位面積(0.8m*1.85m=1.48) </t>
    </r>
    <r>
      <rPr>
        <b/>
        <sz val="12"/>
        <color theme="1"/>
        <rFont val="微軟正黑體"/>
        <family val="2"/>
        <charset val="136"/>
      </rPr>
      <t>※腳踏車位假設在一樓</t>
    </r>
    <phoneticPr fontId="4" type="noConversion"/>
  </si>
  <si>
    <r>
      <t xml:space="preserve">(地上樓板面積－屋突面積)/設計樓層  </t>
    </r>
    <r>
      <rPr>
        <b/>
        <sz val="12"/>
        <color theme="1"/>
        <rFont val="微軟正黑體"/>
        <family val="2"/>
        <charset val="136"/>
      </rPr>
      <t>或=(C14+C23+C24+25+C26)/C49</t>
    </r>
    <phoneticPr fontId="4" type="noConversion"/>
  </si>
  <si>
    <r>
      <t xml:space="preserve"> </t>
    </r>
    <r>
      <rPr>
        <b/>
        <sz val="12"/>
        <color theme="1"/>
        <rFont val="新細明體"/>
        <family val="1"/>
        <charset val="136"/>
      </rPr>
      <t>=ROUNDUP((C23+C24+C25)/150,0)</t>
    </r>
    <phoneticPr fontId="4" type="noConversion"/>
  </si>
  <si>
    <r>
      <t xml:space="preserve">停車位數量×停車位面積 </t>
    </r>
    <r>
      <rPr>
        <b/>
        <sz val="12"/>
        <color theme="1"/>
        <rFont val="新細明體"/>
        <family val="1"/>
        <charset val="136"/>
      </rPr>
      <t>※假設機械車位面積為</t>
    </r>
    <r>
      <rPr>
        <b/>
        <sz val="12"/>
        <color theme="1"/>
        <rFont val="微軟正黑體"/>
        <family val="2"/>
        <charset val="136"/>
      </rPr>
      <t>25m2</t>
    </r>
    <phoneticPr fontId="4" type="noConversion"/>
  </si>
  <si>
    <t>法規</t>
    <phoneticPr fontId="1" type="noConversion"/>
  </si>
  <si>
    <t>獎勵項目</t>
    <phoneticPr fontId="1" type="noConversion"/>
  </si>
  <si>
    <t>獎勵基準</t>
    <phoneticPr fontId="1" type="noConversion"/>
  </si>
  <si>
    <t>核計說明</t>
    <phoneticPr fontId="1" type="noConversion"/>
  </si>
  <si>
    <t>基地面積</t>
    <phoneticPr fontId="1" type="noConversion"/>
  </si>
  <si>
    <t>容積率</t>
    <phoneticPr fontId="1" type="noConversion"/>
  </si>
  <si>
    <t>獎勵額度(%)</t>
    <phoneticPr fontId="1" type="noConversion"/>
  </si>
  <si>
    <t>獎勵面積(㎡)</t>
    <phoneticPr fontId="1" type="noConversion"/>
  </si>
  <si>
    <t>都市更新建築容積獎勵辦法</t>
    <phoneticPr fontId="1" type="noConversion"/>
  </si>
  <si>
    <t>第五條</t>
    <phoneticPr fontId="1" type="noConversion"/>
  </si>
  <si>
    <t>第六條</t>
    <phoneticPr fontId="1" type="noConversion"/>
  </si>
  <si>
    <t>第七條</t>
    <phoneticPr fontId="1" type="noConversion"/>
  </si>
  <si>
    <t>第八條</t>
    <phoneticPr fontId="1" type="noConversion"/>
  </si>
  <si>
    <t>第九條</t>
    <phoneticPr fontId="1" type="noConversion"/>
  </si>
  <si>
    <t>第十條</t>
    <phoneticPr fontId="1" type="noConversion"/>
  </si>
  <si>
    <t>第十一條</t>
    <phoneticPr fontId="1" type="noConversion"/>
  </si>
  <si>
    <t>第十二條</t>
    <phoneticPr fontId="1" type="noConversion"/>
  </si>
  <si>
    <t>第十三條</t>
    <phoneticPr fontId="1" type="noConversion"/>
  </si>
  <si>
    <t>第十四條</t>
    <phoneticPr fontId="1" type="noConversion"/>
  </si>
  <si>
    <t>第十五條</t>
    <phoneticPr fontId="1" type="noConversion"/>
  </si>
  <si>
    <t>第十六條</t>
    <phoneticPr fontId="1" type="noConversion"/>
  </si>
  <si>
    <t>第十七條</t>
    <phoneticPr fontId="1" type="noConversion"/>
  </si>
  <si>
    <t>依主管機關公告提供指定之社會福利設施或其他公益設施，建築物及其土地產權無償登記為公有者，除不計入容積外，其獎勵額度以基準容積之30%為上限</t>
  </si>
  <si>
    <t>都市更新事業計畫範圍內之古蹟、歷史建築、紀念建築及聚落建築群，辦理整體性保存、修復、再利用及管理維護者，除不計入容積外，並得依該建築物實際面積之1.5倍，給予獎勵容積；而依本條例第36條第11款規定保存或維護計畫辦理之都市計畫表明應予保存或有保存價值建築物，除不計入容積外，並得依該建築物之實際面積，給予獎勵容積</t>
  </si>
  <si>
    <t>擬申請獎勵值</t>
    <phoneticPr fontId="1" type="noConversion"/>
  </si>
  <si>
    <t>小計</t>
    <phoneticPr fontId="1" type="noConversion"/>
  </si>
  <si>
    <t>視個案狀況與建築師討論結果而定
暫以依住宅性能評估實施辦法辦理新建住宅性能評估之無障礙環境第二級估計</t>
    <phoneticPr fontId="1" type="noConversion"/>
  </si>
  <si>
    <t>視個案狀況與建築師討論結果而定
暫以依住宅性能評估實施辦法辦理新建住宅性能評估之結構安全性能第三級估計</t>
    <phoneticPr fontId="1" type="noConversion"/>
  </si>
  <si>
    <t>法定容積樓板</t>
    <phoneticPr fontId="1" type="noConversion"/>
  </si>
  <si>
    <t>視個案區位是否涉及古蹟、歷史建築等</t>
    <phoneticPr fontId="1" type="noConversion"/>
  </si>
  <si>
    <r>
      <t>都市更新事業計畫範圍內之建築物符合下列情形之一者，依原建築基地基準容積一定比率給予獎勵容積：
1.經建築主管機關依建築法規、災害防救法規通知限期拆除、逕予強制拆除或評估有危險之虞</t>
    </r>
    <r>
      <rPr>
        <sz val="12"/>
        <color rgb="FF0000FF"/>
        <rFont val="微軟正黑體"/>
        <family val="2"/>
        <charset val="136"/>
      </rPr>
      <t>應限期補強或拆除：10%</t>
    </r>
    <r>
      <rPr>
        <sz val="12"/>
        <color theme="1"/>
        <rFont val="微軟正黑體"/>
        <family val="2"/>
        <charset val="136"/>
      </rPr>
      <t xml:space="preserve">
2.經</t>
    </r>
    <r>
      <rPr>
        <sz val="12"/>
        <color rgb="FF0000FF"/>
        <rFont val="微軟正黑體"/>
        <family val="2"/>
        <charset val="136"/>
      </rPr>
      <t>結構安全性能評估結果未達最低等級：8%</t>
    </r>
    <phoneticPr fontId="1" type="noConversion"/>
  </si>
  <si>
    <t>視個案基地區位是否位於更新地區而定
暫以劃定應實施更新地區，於113.5.16至118.5.16之期間內擬定都更事業計畫報核估計</t>
    <phoneticPr fontId="1" type="noConversion"/>
  </si>
  <si>
    <r>
      <t>協助取得及開闢都市更新事業計畫範圍內或其周邊公共設施用地，產權登記為公有者，其獎勵額度以</t>
    </r>
    <r>
      <rPr>
        <sz val="12"/>
        <color rgb="FF0000FF"/>
        <rFont val="微軟正黑體"/>
        <family val="2"/>
        <charset val="136"/>
      </rPr>
      <t>基準容積之15%</t>
    </r>
    <r>
      <rPr>
        <sz val="12"/>
        <color theme="1"/>
        <rFont val="微軟正黑體"/>
        <family val="2"/>
        <charset val="136"/>
      </rPr>
      <t>為上限</t>
    </r>
    <phoneticPr fontId="1" type="noConversion"/>
  </si>
  <si>
    <r>
      <t>採</t>
    </r>
    <r>
      <rPr>
        <b/>
        <sz val="12"/>
        <color rgb="FFC00000"/>
        <rFont val="微軟正黑體"/>
        <family val="2"/>
        <charset val="136"/>
      </rPr>
      <t>無障礙環境設計</t>
    </r>
    <r>
      <rPr>
        <sz val="12"/>
        <color theme="1"/>
        <rFont val="微軟正黑體"/>
        <family val="2"/>
        <charset val="136"/>
      </rPr>
      <t>者，依下列規定給予獎勵容積(住宅適用)：
1.</t>
    </r>
    <r>
      <rPr>
        <sz val="12"/>
        <color rgb="FF0000FF"/>
        <rFont val="微軟正黑體"/>
        <family val="2"/>
        <charset val="136"/>
      </rPr>
      <t>取得無障礙住宅建築標章：5%</t>
    </r>
    <r>
      <rPr>
        <sz val="12"/>
        <color theme="1"/>
        <rFont val="微軟正黑體"/>
        <family val="2"/>
        <charset val="136"/>
      </rPr>
      <t xml:space="preserve">
2.依住宅性能評估實施辦法辦理</t>
    </r>
    <r>
      <rPr>
        <sz val="12"/>
        <rFont val="微軟正黑體"/>
        <family val="2"/>
        <charset val="136"/>
      </rPr>
      <t>新建</t>
    </r>
    <r>
      <rPr>
        <sz val="12"/>
        <color rgb="FF0000FF"/>
        <rFont val="微軟正黑體"/>
        <family val="2"/>
        <charset val="136"/>
      </rPr>
      <t>住宅性能評估之無障礙環境：
第一級：4%；第二級：3%</t>
    </r>
    <phoneticPr fontId="1" type="noConversion"/>
  </si>
  <si>
    <r>
      <t>實施容積管制前已興建完成之合法建築物，其</t>
    </r>
    <r>
      <rPr>
        <b/>
        <sz val="12"/>
        <color rgb="FFC00000"/>
        <rFont val="微軟正黑體"/>
        <family val="2"/>
        <charset val="136"/>
      </rPr>
      <t>原建築容積高於基準容積</t>
    </r>
    <r>
      <rPr>
        <sz val="12"/>
        <color theme="1"/>
        <rFont val="微軟正黑體"/>
        <family val="2"/>
        <charset val="136"/>
      </rPr>
      <t>者，得依原建築容積建築，或依原建築基地基準容積之10%給予獎勵容積。</t>
    </r>
    <phoneticPr fontId="1" type="noConversion"/>
  </si>
  <si>
    <r>
      <t>都市更新事業計畫範圍重建區段含</t>
    </r>
    <r>
      <rPr>
        <b/>
        <sz val="12"/>
        <color rgb="FFC00000"/>
        <rFont val="微軟正黑體"/>
        <family val="2"/>
        <charset val="136"/>
      </rPr>
      <t>一個以上完整計畫街廓或土地面積達一定規模</t>
    </r>
    <r>
      <rPr>
        <sz val="12"/>
        <color theme="1"/>
        <rFont val="微軟正黑體"/>
        <family val="2"/>
        <charset val="136"/>
      </rPr>
      <t>以上者，依下列規定給予獎勵容積：
1.</t>
    </r>
    <r>
      <rPr>
        <sz val="12"/>
        <color rgb="FF0000FF"/>
        <rFont val="微軟正黑體"/>
        <family val="2"/>
        <charset val="136"/>
      </rPr>
      <t>一個以上完整計畫街廓：5%</t>
    </r>
    <r>
      <rPr>
        <sz val="12"/>
        <color theme="1"/>
        <rFont val="微軟正黑體"/>
        <family val="2"/>
        <charset val="136"/>
      </rPr>
      <t xml:space="preserve">
2.</t>
    </r>
    <r>
      <rPr>
        <sz val="12"/>
        <color rgb="FF0000FF"/>
        <rFont val="微軟正黑體"/>
        <family val="2"/>
        <charset val="136"/>
      </rPr>
      <t>面積達3,000㎡以上未滿10,000㎡：5%，每增加100㎡，另給予基準容積0.3%</t>
    </r>
    <r>
      <rPr>
        <sz val="12"/>
        <color theme="1"/>
        <rFont val="微軟正黑體"/>
        <family val="2"/>
        <charset val="136"/>
      </rPr>
      <t xml:space="preserve">
3.</t>
    </r>
    <r>
      <rPr>
        <sz val="12"/>
        <color rgb="FF0000FF"/>
        <rFont val="微軟正黑體"/>
        <family val="2"/>
        <charset val="136"/>
      </rPr>
      <t>面積達10,000㎡以上：30%</t>
    </r>
    <phoneticPr fontId="1" type="noConversion"/>
  </si>
  <si>
    <r>
      <t>更新前門牌戶達二十戶以上，依本條例第43條第1項但書後段規定，於都市更新事業計畫報核時</t>
    </r>
    <r>
      <rPr>
        <b/>
        <sz val="12"/>
        <color rgb="FFC00000"/>
        <rFont val="微軟正黑體"/>
        <family val="2"/>
        <charset val="136"/>
      </rPr>
      <t>經全體土地及合法建築物所有權人同意</t>
    </r>
    <r>
      <rPr>
        <sz val="12"/>
        <color theme="1"/>
        <rFont val="微軟正黑體"/>
        <family val="2"/>
        <charset val="136"/>
      </rPr>
      <t>以</t>
    </r>
    <r>
      <rPr>
        <b/>
        <sz val="12"/>
        <color rgb="FFC00000"/>
        <rFont val="微軟正黑體"/>
        <family val="2"/>
        <charset val="136"/>
      </rPr>
      <t>協議合建</t>
    </r>
    <r>
      <rPr>
        <sz val="12"/>
        <color theme="1"/>
        <rFont val="微軟正黑體"/>
        <family val="2"/>
        <charset val="136"/>
      </rPr>
      <t>方式實施之都市更新事業，給予</t>
    </r>
    <r>
      <rPr>
        <sz val="12"/>
        <color rgb="FF0000FF"/>
        <rFont val="微軟正黑體"/>
        <family val="2"/>
        <charset val="136"/>
      </rPr>
      <t>基準容積之5%</t>
    </r>
    <r>
      <rPr>
        <sz val="12"/>
        <color theme="1"/>
        <rFont val="微軟正黑體"/>
        <family val="2"/>
        <charset val="136"/>
      </rPr>
      <t>獎勵容積</t>
    </r>
    <phoneticPr fontId="1" type="noConversion"/>
  </si>
  <si>
    <r>
      <rPr>
        <b/>
        <sz val="12"/>
        <color rgb="FFC00000"/>
        <rFont val="微軟正黑體"/>
        <family val="2"/>
        <charset val="136"/>
      </rPr>
      <t>處理占有他人土地之舊違章建築戶</t>
    </r>
    <r>
      <rPr>
        <sz val="12"/>
        <color theme="1"/>
        <rFont val="微軟正黑體"/>
        <family val="2"/>
        <charset val="136"/>
      </rPr>
      <t>，依都市更新事業計畫報核前之實測面積給予獎勵容積，且每戶不得超過最近一次行政院主計總處人口及住宅普查報告各該直轄市、縣（市）平均每戶住宅樓地板面積，其獎勵額度以基準容積之20%為上限</t>
    </r>
    <phoneticPr fontId="1" type="noConversion"/>
  </si>
  <si>
    <t>視個案狀況而定</t>
  </si>
  <si>
    <t>獎勵值填空</t>
    <phoneticPr fontId="1" type="noConversion"/>
  </si>
  <si>
    <t>臺北市都市更新建築容積獎勵辦法</t>
    <phoneticPr fontId="1" type="noConversion"/>
  </si>
  <si>
    <t>建築規劃設計(一)</t>
    <phoneticPr fontId="1" type="noConversion"/>
  </si>
  <si>
    <t>一、都市環境之貢獻</t>
    <phoneticPr fontId="1" type="noConversion"/>
  </si>
  <si>
    <r>
      <t>取得候選</t>
    </r>
    <r>
      <rPr>
        <b/>
        <sz val="12"/>
        <color rgb="FFC00000"/>
        <rFont val="微軟正黑體"/>
        <family val="2"/>
        <charset val="136"/>
      </rPr>
      <t>綠建築</t>
    </r>
    <r>
      <rPr>
        <sz val="12"/>
        <color theme="1"/>
        <rFont val="微軟正黑體"/>
        <family val="2"/>
        <charset val="136"/>
      </rPr>
      <t xml:space="preserve">證書，依下列等級給予獎勵容積：
</t>
    </r>
    <r>
      <rPr>
        <sz val="12"/>
        <color rgb="FF0000FF"/>
        <rFont val="微軟正黑體"/>
        <family val="2"/>
        <charset val="136"/>
      </rPr>
      <t>鑽石級：10%；黃金級：8%；銀級：6%；銅級：4%；合格級：2%</t>
    </r>
    <r>
      <rPr>
        <sz val="12"/>
        <color theme="1"/>
        <rFont val="微軟正黑體"/>
        <family val="2"/>
        <charset val="136"/>
      </rPr>
      <t xml:space="preserve"> 
(銅級及合格級，僅限面積未達五百平方公尺者適用)</t>
    </r>
    <phoneticPr fontId="1" type="noConversion"/>
  </si>
  <si>
    <r>
      <t>取得候選</t>
    </r>
    <r>
      <rPr>
        <b/>
        <sz val="12"/>
        <color rgb="FFC00000"/>
        <rFont val="微軟正黑體"/>
        <family val="2"/>
        <charset val="136"/>
      </rPr>
      <t>智慧建築</t>
    </r>
    <r>
      <rPr>
        <sz val="12"/>
        <color theme="1"/>
        <rFont val="微軟正黑體"/>
        <family val="2"/>
        <charset val="136"/>
      </rPr>
      <t xml:space="preserve">證書，依下列等級給予獎勵容積：
</t>
    </r>
    <r>
      <rPr>
        <sz val="12"/>
        <color rgb="FF0000FF"/>
        <rFont val="微軟正黑體"/>
        <family val="2"/>
        <charset val="136"/>
      </rPr>
      <t xml:space="preserve">鑽石級：10%；黃金級：8%；銀級：6%；銅級：4%；合格級：2%
</t>
    </r>
    <r>
      <rPr>
        <sz val="12"/>
        <color theme="1"/>
        <rFont val="微軟正黑體"/>
        <family val="2"/>
        <charset val="136"/>
      </rPr>
      <t xml:space="preserve"> (銅級及合格級，僅限面積未達五百平方公尺者適用)</t>
    </r>
    <phoneticPr fontId="1" type="noConversion"/>
  </si>
  <si>
    <r>
      <t>採建築物耐震設計者，依下列規定給予獎勵容積：
1.</t>
    </r>
    <r>
      <rPr>
        <sz val="12"/>
        <color rgb="FF0000FF"/>
        <rFont val="微軟正黑體"/>
        <family val="2"/>
        <charset val="136"/>
      </rPr>
      <t>取得耐震設計標章：10%</t>
    </r>
    <r>
      <rPr>
        <sz val="12"/>
        <color theme="1"/>
        <rFont val="微軟正黑體"/>
        <family val="2"/>
        <charset val="136"/>
      </rPr>
      <t xml:space="preserve">
2.依住宅性能評估實施辦法辦理新建</t>
    </r>
    <r>
      <rPr>
        <sz val="12"/>
        <color rgb="FF0000FF"/>
        <rFont val="微軟正黑體"/>
        <family val="2"/>
        <charset val="136"/>
      </rPr>
      <t xml:space="preserve">住宅性能評估之結構安全性能：
第一級：6%；第二級：4%；第三級：2% </t>
    </r>
    <r>
      <rPr>
        <sz val="12"/>
        <color theme="1"/>
        <rFont val="微軟正黑體"/>
        <family val="2"/>
        <charset val="136"/>
      </rPr>
      <t>(住宅適用)</t>
    </r>
    <phoneticPr fontId="1" type="noConversion"/>
  </si>
  <si>
    <r>
      <rPr>
        <sz val="12"/>
        <color rgb="FF0000FF"/>
        <rFont val="微軟正黑體"/>
        <family val="2"/>
        <charset val="136"/>
      </rPr>
      <t>符合下列3項者，給予1%；符合4項者，給予2%；符合5項以上者，給予3%。</t>
    </r>
    <r>
      <rPr>
        <sz val="12"/>
        <color theme="1"/>
        <rFont val="微軟正黑體"/>
        <family val="2"/>
        <charset val="136"/>
      </rPr>
      <t xml:space="preserve">
1.建築物鄰8公尺以下道路境界線之退縮，自人行道及建築物高度比檢討範圍外起算，一側建築物退縮距離達2公尺以上。
2.建築物與鄰地境界線距離平均寬度達3公尺，最小淨寬達2公尺以上。
3.基地內留設寬度4公尺以上供公眾通行之通道，最小淨寬達2.5公尺以上，且通道兩端均銜接公共設施用地或道路。
4.建築基地集中設置開放空間廣場達200平方公尺以上，其任一邊最小淨寬達8公尺以上，且長寬比不得超過三。
5.建築物地面層鄰接公共空間側留設供公眾使用之挑高半戶外空間，其樑下淨高達6公尺以上，留設面積達36平方公尺以上，任一邊最小淨寬達6公尺以上，且長寬比不得超過3。
6.建築物斜對角距離平均未超過45公尺；倘超過45公尺，以設計手法規劃建物立面，避免形成連續性牆面。</t>
    </r>
    <phoneticPr fontId="1" type="noConversion"/>
  </si>
  <si>
    <t>視個案狀況與建築師檢討結果而定</t>
    <phoneticPr fontId="1" type="noConversion"/>
  </si>
  <si>
    <t>建築規劃設計(二)</t>
    <phoneticPr fontId="1" type="noConversion"/>
  </si>
  <si>
    <t>建築規劃設計(三)</t>
    <phoneticPr fontId="1" type="noConversion"/>
  </si>
  <si>
    <t>建築規劃設計(四)</t>
    <phoneticPr fontId="1" type="noConversion"/>
  </si>
  <si>
    <t>建築規劃設計(五)</t>
    <phoneticPr fontId="1" type="noConversion"/>
  </si>
  <si>
    <t>改善都市環境</t>
    <phoneticPr fontId="1" type="noConversion"/>
  </si>
  <si>
    <t>視個案狀況與建築師設計內容而定</t>
    <phoneticPr fontId="1" type="noConversion"/>
  </si>
  <si>
    <t>視個案狀況與建築師設計內容而定
暫以基地設置雨水流出抑制設施，達法定雨水貯留量二倍以上，申請1%獎勵估算</t>
    <phoneticPr fontId="1" type="noConversion"/>
  </si>
  <si>
    <r>
      <t>基地</t>
    </r>
    <r>
      <rPr>
        <b/>
        <sz val="12"/>
        <color rgb="FFC00000"/>
        <rFont val="微軟正黑體"/>
        <family val="2"/>
        <charset val="136"/>
      </rPr>
      <t>設置雨水流出抑制設施</t>
    </r>
    <r>
      <rPr>
        <sz val="12"/>
        <color theme="1"/>
        <rFont val="微軟正黑體"/>
        <family val="2"/>
        <charset val="136"/>
      </rPr>
      <t>，</t>
    </r>
    <r>
      <rPr>
        <sz val="12"/>
        <color rgb="FF0000FF"/>
        <rFont val="微軟正黑體"/>
        <family val="2"/>
        <charset val="136"/>
      </rPr>
      <t>達法定雨水貯留量二倍以上，給予1%獎勵</t>
    </r>
    <r>
      <rPr>
        <sz val="12"/>
        <color theme="1"/>
        <rFont val="微軟正黑體"/>
        <family val="2"/>
        <charset val="136"/>
      </rPr>
      <t>。
1.法定雨水貯留量依「臺北市基地開發排入雨水下水道逕流量標準」規定，視基地規模檢討之
2.應檢附相關設施及排水系統分析資料、圖說</t>
    </r>
    <phoneticPr fontId="1" type="noConversion"/>
  </si>
  <si>
    <r>
      <t>基地</t>
    </r>
    <r>
      <rPr>
        <b/>
        <sz val="12"/>
        <color rgb="FFC00000"/>
        <rFont val="微軟正黑體"/>
        <family val="2"/>
        <charset val="136"/>
      </rPr>
      <t>面臨都市計畫道路、公共設施或指定建築線之既成巷道沿街面，留設供人行走之地面道路或騎樓且具延續性</t>
    </r>
    <r>
      <rPr>
        <sz val="12"/>
        <color theme="1"/>
        <rFont val="微軟正黑體"/>
        <family val="2"/>
        <charset val="136"/>
      </rPr>
      <t>，並配合基地周遭相鄰街廓整體考量設置，無遮簷部分須以滲透設計，其設計經由建築師簽證。
1.留設供人行走之地面道路或騎樓，</t>
    </r>
    <r>
      <rPr>
        <sz val="12"/>
        <color rgb="FF0000FF"/>
        <rFont val="微軟正黑體"/>
        <family val="2"/>
        <charset val="136"/>
      </rPr>
      <t>各部分淨寬均達2公尺以上至6公尺以下，依實際留設面積給予獎勵</t>
    </r>
    <r>
      <rPr>
        <sz val="12"/>
        <color theme="1"/>
        <rFont val="微軟正黑體"/>
        <family val="2"/>
        <charset val="136"/>
      </rPr>
      <t>。
2.依都市計畫、臺北市土地使用分區管制自治條例及其他法令規定留設供人行走之地面道路或騎樓，須留設法定規定以上之供人行走地面道路或騎樓，始得申請本項獎勵。</t>
    </r>
    <phoneticPr fontId="1" type="noConversion"/>
  </si>
  <si>
    <t>視個案狀況與建築師設計內容而定
暫以3%估算</t>
    <phoneticPr fontId="1" type="noConversion"/>
  </si>
  <si>
    <r>
      <rPr>
        <b/>
        <sz val="12"/>
        <color rgb="FFC00000"/>
        <rFont val="微軟正黑體"/>
        <family val="2"/>
        <charset val="136"/>
      </rPr>
      <t>符合臺北市都市更新及爭議處理審議會</t>
    </r>
    <r>
      <rPr>
        <sz val="12"/>
        <color theme="1"/>
        <rFont val="微軟正黑體"/>
        <family val="2"/>
        <charset val="136"/>
      </rPr>
      <t>歷次會議通案重要審議原則之</t>
    </r>
    <r>
      <rPr>
        <b/>
        <sz val="12"/>
        <color rgb="FFC00000"/>
        <rFont val="微軟正黑體"/>
        <family val="2"/>
        <charset val="136"/>
      </rPr>
      <t>建築設計類別全部審議原則者</t>
    </r>
    <r>
      <rPr>
        <sz val="12"/>
        <color theme="1"/>
        <rFont val="微軟正黑體"/>
        <family val="2"/>
        <charset val="136"/>
      </rPr>
      <t>，給予</t>
    </r>
    <r>
      <rPr>
        <sz val="12"/>
        <color rgb="FF0000FF"/>
        <rFont val="微軟正黑體"/>
        <family val="2"/>
        <charset val="136"/>
      </rPr>
      <t>3%</t>
    </r>
    <r>
      <rPr>
        <sz val="12"/>
        <color theme="1"/>
        <rFont val="微軟正黑體"/>
        <family val="2"/>
        <charset val="136"/>
      </rPr>
      <t>。</t>
    </r>
    <phoneticPr fontId="1" type="noConversion"/>
  </si>
  <si>
    <r>
      <t>建築物採</t>
    </r>
    <r>
      <rPr>
        <b/>
        <sz val="12"/>
        <color rgb="FFC00000"/>
        <rFont val="微軟正黑體"/>
        <family val="2"/>
        <charset val="136"/>
      </rPr>
      <t>屋頂平臺綠化及立面方式垂直綠化</t>
    </r>
    <r>
      <rPr>
        <sz val="12"/>
        <color theme="1"/>
        <rFont val="微軟正黑體"/>
        <family val="2"/>
        <charset val="136"/>
      </rPr>
      <t>，綠覆率達「臺北市新建建築物綠化實施規則」以下簡稱本規則第五條所定各類建築基地綠覆率一點六倍以上，且屋頂平臺及立面方式垂直綠覆面積占總綠覆面積二分之一以上者。下列三項計算方式擇一適用：
1.依本規則計算達各類建築基地</t>
    </r>
    <r>
      <rPr>
        <sz val="12"/>
        <color rgb="FF0000FF"/>
        <rFont val="微軟正黑體"/>
        <family val="2"/>
        <charset val="136"/>
      </rPr>
      <t>綠覆率1.6倍以上，未滿1.8倍者，給予基準容積2%</t>
    </r>
    <r>
      <rPr>
        <sz val="12"/>
        <color theme="1"/>
        <rFont val="微軟正黑體"/>
        <family val="2"/>
        <charset val="136"/>
      </rPr>
      <t>。
2.依本規則計算達各類建築基地</t>
    </r>
    <r>
      <rPr>
        <sz val="12"/>
        <color rgb="FF0000FF"/>
        <rFont val="微軟正黑體"/>
        <family val="2"/>
        <charset val="136"/>
      </rPr>
      <t>綠覆率1.8倍以上，未滿2倍者，給予基準容積3%</t>
    </r>
    <r>
      <rPr>
        <sz val="12"/>
        <color theme="1"/>
        <rFont val="微軟正黑體"/>
        <family val="2"/>
        <charset val="136"/>
      </rPr>
      <t>。
3.依本規則計算達各類建築基地</t>
    </r>
    <r>
      <rPr>
        <sz val="12"/>
        <color rgb="FF0000FF"/>
        <rFont val="微軟正黑體"/>
        <family val="2"/>
        <charset val="136"/>
      </rPr>
      <t>綠覆率2倍以上者，給予基準容積4%</t>
    </r>
    <r>
      <rPr>
        <sz val="12"/>
        <color theme="1"/>
        <rFont val="微軟正黑體"/>
        <family val="2"/>
        <charset val="136"/>
      </rPr>
      <t>。</t>
    </r>
    <phoneticPr fontId="1" type="noConversion"/>
  </si>
  <si>
    <r>
      <t>協助建築基地所坐落</t>
    </r>
    <r>
      <rPr>
        <b/>
        <sz val="12"/>
        <color rgb="FFC00000"/>
        <rFont val="微軟正黑體"/>
        <family val="2"/>
        <charset val="136"/>
      </rPr>
      <t>同一街廓或毗鄰街廓整修順平騎樓或無遮簷人行道</t>
    </r>
    <r>
      <rPr>
        <sz val="12"/>
        <color theme="1"/>
        <rFont val="微軟正黑體"/>
        <family val="2"/>
        <charset val="136"/>
      </rPr>
      <t>，並取</t>
    </r>
    <r>
      <rPr>
        <b/>
        <sz val="12"/>
        <color rgb="FFC00000"/>
        <rFont val="微軟正黑體"/>
        <family val="2"/>
        <charset val="136"/>
      </rPr>
      <t>得其土地及建物全體所有權人同意自行維護管理文件者</t>
    </r>
    <r>
      <rPr>
        <sz val="12"/>
        <color theme="1"/>
        <rFont val="微軟正黑體"/>
        <family val="2"/>
        <charset val="136"/>
      </rPr>
      <t>。</t>
    </r>
    <r>
      <rPr>
        <sz val="12"/>
        <color rgb="FF0000FF"/>
        <rFont val="微軟正黑體"/>
        <family val="2"/>
        <charset val="136"/>
      </rPr>
      <t>整修一棟建築物之騎樓、無遮簷人行道，給予0.25%獎勵</t>
    </r>
    <r>
      <rPr>
        <sz val="12"/>
        <color theme="1"/>
        <rFont val="微軟正黑體"/>
        <family val="2"/>
        <charset val="136"/>
      </rPr>
      <t>。</t>
    </r>
    <phoneticPr fontId="1" type="noConversion"/>
  </si>
  <si>
    <t>二、新技術之應用</t>
    <phoneticPr fontId="1" type="noConversion"/>
  </si>
  <si>
    <t>新技術應用</t>
    <phoneticPr fontId="1" type="noConversion"/>
  </si>
  <si>
    <r>
      <t>建築基地之法定停車位總數量以外，所提供之</t>
    </r>
    <r>
      <rPr>
        <b/>
        <sz val="12"/>
        <color rgb="FFC00000"/>
        <rFont val="微軟正黑體"/>
        <family val="2"/>
        <charset val="136"/>
      </rPr>
      <t>充電汽車及機車停車位</t>
    </r>
    <r>
      <rPr>
        <sz val="12"/>
        <color theme="1"/>
        <rFont val="微軟正黑體"/>
        <family val="2"/>
        <charset val="136"/>
      </rPr>
      <t>，其</t>
    </r>
    <r>
      <rPr>
        <sz val="12"/>
        <color rgb="FF0000FF"/>
        <rFont val="微軟正黑體"/>
        <family val="2"/>
        <charset val="136"/>
      </rPr>
      <t>數量達法定停車位總數量3%以上，給予1%獎勵</t>
    </r>
    <r>
      <rPr>
        <sz val="12"/>
        <color theme="1"/>
        <rFont val="微軟正黑體"/>
        <family val="2"/>
        <charset val="136"/>
      </rPr>
      <t>。
1.充電汽車及機車停車位為社區共用車位，其管理規範應納入住戶管理規約。
2.充電柱之設備規格，得比照臺北市停車管理工程處接受民間充電柱捐贈注意事項之規定辦理。</t>
    </r>
    <phoneticPr fontId="1" type="noConversion"/>
  </si>
  <si>
    <t>視個案狀況與建築師設計內容而定
暫以提供足量充電車位，獎勵1%估算</t>
    <phoneticPr fontId="1" type="noConversion"/>
  </si>
  <si>
    <t>三、有助於都市更新事業之實施</t>
    <phoneticPr fontId="1" type="noConversion"/>
  </si>
  <si>
    <t>促進都市更新(一)</t>
    <phoneticPr fontId="1" type="noConversion"/>
  </si>
  <si>
    <t>促進都市更新(二)</t>
    <phoneticPr fontId="1" type="noConversion"/>
  </si>
  <si>
    <r>
      <rPr>
        <b/>
        <sz val="12"/>
        <color rgb="FFC00000"/>
        <rFont val="微軟正黑體"/>
        <family val="2"/>
        <charset val="136"/>
      </rPr>
      <t>提供經費予本市都市更新基金</t>
    </r>
    <r>
      <rPr>
        <sz val="12"/>
        <color theme="1"/>
        <rFont val="微軟正黑體"/>
        <family val="2"/>
        <charset val="136"/>
      </rPr>
      <t xml:space="preserve">，有助於推動都市更新事業之實施
</t>
    </r>
    <r>
      <rPr>
        <sz val="12"/>
        <color rgb="FF0000FF"/>
        <rFont val="微軟正黑體"/>
        <family val="2"/>
        <charset val="136"/>
      </rPr>
      <t>獎勵容積＝(提供經費予本市都市更新基金金額)/(都市更新事業計畫報核日當期之建築基地平均公告現值×0.7)</t>
    </r>
    <r>
      <rPr>
        <sz val="12"/>
        <color theme="1"/>
        <rFont val="微軟正黑體"/>
        <family val="2"/>
        <charset val="136"/>
      </rPr>
      <t xml:space="preserve">
申請本項獎勵於事業計畫核定時應與本府簽訂契約書，並應於領得使用執照前完成提供經費作業。</t>
    </r>
    <phoneticPr fontId="1" type="noConversion"/>
  </si>
  <si>
    <r>
      <t>更新單元內</t>
    </r>
    <r>
      <rPr>
        <b/>
        <sz val="12"/>
        <color rgb="FFC00000"/>
        <rFont val="微軟正黑體"/>
        <family val="2"/>
        <charset val="136"/>
      </rPr>
      <t>現有合法建築物之屋齡達30年以上，且樓層數達四、五層樓無設置電梯設備或法定停車位數低於戶數7/10以下</t>
    </r>
    <r>
      <rPr>
        <sz val="12"/>
        <color theme="1"/>
        <rFont val="微軟正黑體"/>
        <family val="2"/>
        <charset val="136"/>
      </rPr>
      <t>者
1.合法建築物為</t>
    </r>
    <r>
      <rPr>
        <sz val="12"/>
        <color rgb="FF0000FF"/>
        <rFont val="微軟正黑體"/>
        <family val="2"/>
        <charset val="136"/>
      </rPr>
      <t>四層樓</t>
    </r>
    <r>
      <rPr>
        <sz val="12"/>
        <color theme="1"/>
        <rFont val="微軟正黑體"/>
        <family val="2"/>
        <charset val="136"/>
      </rPr>
      <t>者，給予該棟合法建築物坐落之建築基地</t>
    </r>
    <r>
      <rPr>
        <sz val="12"/>
        <color rgb="FF0000FF"/>
        <rFont val="微軟正黑體"/>
        <family val="2"/>
        <charset val="136"/>
      </rPr>
      <t>基準容積之2%</t>
    </r>
    <r>
      <rPr>
        <sz val="12"/>
        <color theme="1"/>
        <rFont val="微軟正黑體"/>
        <family val="2"/>
        <charset val="136"/>
      </rPr>
      <t xml:space="preserve">
2.合法建築物為</t>
    </r>
    <r>
      <rPr>
        <sz val="12"/>
        <color rgb="FF0000FF"/>
        <rFont val="微軟正黑體"/>
        <family val="2"/>
        <charset val="136"/>
      </rPr>
      <t>五層樓</t>
    </r>
    <r>
      <rPr>
        <sz val="12"/>
        <color theme="1"/>
        <rFont val="微軟正黑體"/>
        <family val="2"/>
        <charset val="136"/>
      </rPr>
      <t>者，給予該棟合法建築物坐落之建築基地</t>
    </r>
    <r>
      <rPr>
        <sz val="12"/>
        <color rgb="FF0000FF"/>
        <rFont val="微軟正黑體"/>
        <family val="2"/>
        <charset val="136"/>
      </rPr>
      <t>基準容積之4%</t>
    </r>
    <phoneticPr fontId="1" type="noConversion"/>
  </si>
  <si>
    <t>視個案狀況
暫以四層樓且無設置電梯、法停低於戶數7/10以下計算</t>
    <phoneticPr fontId="1" type="noConversion"/>
  </si>
  <si>
    <t>都更容獎總計</t>
    <phoneticPr fontId="1" type="noConversion"/>
  </si>
  <si>
    <t>臺北市防災型都市更新細部計畫</t>
    <phoneticPr fontId="1" type="noConversion"/>
  </si>
  <si>
    <t>視個案狀況，由結構技師評估</t>
    <phoneticPr fontId="1" type="noConversion"/>
  </si>
  <si>
    <t>民國63年以前之建物，或依「都市更新耐震能力不足建築物而有明顯危害公共安全認定辦法」規定，經結構安全性能評估初評或詳評結果認定，評估結果ID值小於0.35之建築物，依各建築物原建築基地面積計算獎勵值</t>
    <phoneticPr fontId="1" type="noConversion"/>
  </si>
  <si>
    <r>
      <t>△</t>
    </r>
    <r>
      <rPr>
        <sz val="10.199999999999999"/>
        <color theme="1"/>
        <rFont val="微軟正黑體"/>
        <family val="2"/>
        <charset val="136"/>
      </rPr>
      <t>D1</t>
    </r>
    <phoneticPr fontId="1" type="noConversion"/>
  </si>
  <si>
    <r>
      <t>△</t>
    </r>
    <r>
      <rPr>
        <sz val="10.199999999999999"/>
        <color theme="1"/>
        <rFont val="微軟正黑體"/>
        <family val="2"/>
        <charset val="136"/>
      </rPr>
      <t>D2</t>
    </r>
    <phoneticPr fontId="1" type="noConversion"/>
  </si>
  <si>
    <r>
      <t>△</t>
    </r>
    <r>
      <rPr>
        <sz val="10.199999999999999"/>
        <color theme="1"/>
        <rFont val="微軟正黑體"/>
        <family val="2"/>
        <charset val="136"/>
      </rPr>
      <t>D3</t>
    </r>
    <phoneticPr fontId="1" type="noConversion"/>
  </si>
  <si>
    <r>
      <t>△</t>
    </r>
    <r>
      <rPr>
        <sz val="10.199999999999999"/>
        <color theme="1"/>
        <rFont val="微軟正黑體"/>
        <family val="2"/>
        <charset val="136"/>
      </rPr>
      <t>D4</t>
    </r>
    <phoneticPr fontId="1" type="noConversion"/>
  </si>
  <si>
    <r>
      <t>△</t>
    </r>
    <r>
      <rPr>
        <sz val="10.199999999999999"/>
        <color theme="1"/>
        <rFont val="微軟正黑體"/>
        <family val="2"/>
        <charset val="136"/>
      </rPr>
      <t>D5</t>
    </r>
    <phoneticPr fontId="1" type="noConversion"/>
  </si>
  <si>
    <t>回饋公益設施空間</t>
    <phoneticPr fontId="1" type="noConversion"/>
  </si>
  <si>
    <t>繳納代金(應繳納本容積獎勵值50%之回饋代金)</t>
    <phoneticPr fontId="1" type="noConversion"/>
  </si>
  <si>
    <t xml:space="preserve">上限為第一級場站核心區(30%)、一般區(15%)；第二級場站核心區(20%)、一般區(10%) </t>
    <phoneticPr fontId="1" type="noConversion"/>
  </si>
  <si>
    <t>容積移轉</t>
    <phoneticPr fontId="1" type="noConversion"/>
  </si>
  <si>
    <t>臺北市大眾運輸導向(TOD)開發許可獎勵</t>
    <phoneticPr fontId="1" type="noConversion"/>
  </si>
  <si>
    <t>基地提供設置公共自行車停車空間或提供公眾使用之一般自行車停車空間者，該自行車空間應留設於地面層且臨道路側。</t>
    <phoneticPr fontId="1" type="noConversion"/>
  </si>
  <si>
    <r>
      <rPr>
        <b/>
        <sz val="12"/>
        <color rgb="FFC00000"/>
        <rFont val="微軟正黑體"/>
        <family val="2"/>
        <charset val="136"/>
      </rPr>
      <t>移設捷運設施或增設捷運出入口</t>
    </r>
    <r>
      <rPr>
        <sz val="12"/>
        <color theme="1"/>
        <rFont val="微軟正黑體"/>
        <family val="2"/>
        <charset val="136"/>
      </rPr>
      <t xml:space="preserve">
容積獎勵按設施所占樓地板面積依</t>
    </r>
    <r>
      <rPr>
        <sz val="12"/>
        <color rgb="FF0000FF"/>
        <rFont val="微軟正黑體"/>
        <family val="2"/>
        <charset val="136"/>
      </rPr>
      <t>地面層1倍、地下層及地上二層以上各0.5倍</t>
    </r>
    <r>
      <rPr>
        <sz val="12"/>
        <color theme="1"/>
        <rFont val="微軟正黑體"/>
        <family val="2"/>
        <charset val="136"/>
      </rPr>
      <t>總和計算之</t>
    </r>
    <phoneticPr fontId="1" type="noConversion"/>
  </si>
  <si>
    <t>合計</t>
    <phoneticPr fontId="1" type="noConversion"/>
  </si>
  <si>
    <r>
      <rPr>
        <b/>
        <sz val="12"/>
        <color rgb="FFC00000"/>
        <rFont val="微軟正黑體"/>
        <family val="2"/>
        <charset val="136"/>
      </rPr>
      <t>設置自行車轉乘停放空間</t>
    </r>
    <r>
      <rPr>
        <sz val="12"/>
        <color theme="1"/>
        <rFont val="微軟正黑體"/>
        <family val="2"/>
        <charset val="136"/>
      </rPr>
      <t xml:space="preserve">
依</t>
    </r>
    <r>
      <rPr>
        <sz val="12"/>
        <color rgb="FF0000FF"/>
        <rFont val="微軟正黑體"/>
        <family val="2"/>
        <charset val="136"/>
      </rPr>
      <t>實際留設面積給予容積獎勵</t>
    </r>
    <phoneticPr fontId="1" type="noConversion"/>
  </si>
  <si>
    <r>
      <rPr>
        <b/>
        <sz val="12"/>
        <color rgb="FFC00000"/>
        <rFont val="微軟正黑體"/>
        <family val="2"/>
        <charset val="136"/>
      </rPr>
      <t>留設友善人行空間：標準級、進階級擇一
標準級：</t>
    </r>
    <r>
      <rPr>
        <sz val="12"/>
        <color theme="1"/>
        <rFont val="微軟正黑體"/>
        <family val="2"/>
        <charset val="136"/>
      </rPr>
      <t xml:space="preserve">
1.基地退縮：臨8公尺以下道路退縮達2公尺以上
2.基地退縮：與鄰地境界線距離平均寬度達3公尺、最小淨寬達2公尺
3.人行通道：基地內留設寬4公尺以上之通道，最小淨寬達2.5公尺以上，且兩端均銜接公設用地或道路
4.開放空間：集中設置開放空間廣場達200平方公尺以上，最小淨寬達8公尺
5.附頂蓋開放空間：地面層鄰接開放空間側留設挑高半戶外空間，樑下淨高達6公尺以上，面積達36平方公尺以上，最小淨寬達6公尺以上
6.環境設計：建物斜對角距離平均未超過45公尺
前述符合</t>
    </r>
    <r>
      <rPr>
        <sz val="12"/>
        <color rgb="FF0000FF"/>
        <rFont val="微軟正黑體"/>
        <family val="2"/>
        <charset val="136"/>
      </rPr>
      <t>3項以上：1%</t>
    </r>
    <r>
      <rPr>
        <sz val="12"/>
        <color theme="1"/>
        <rFont val="微軟正黑體"/>
        <family val="2"/>
        <charset val="136"/>
      </rPr>
      <t>；</t>
    </r>
    <r>
      <rPr>
        <sz val="12"/>
        <color rgb="FF0000FF"/>
        <rFont val="微軟正黑體"/>
        <family val="2"/>
        <charset val="136"/>
      </rPr>
      <t>4項以上：2%</t>
    </r>
    <r>
      <rPr>
        <sz val="12"/>
        <color theme="1"/>
        <rFont val="微軟正黑體"/>
        <family val="2"/>
        <charset val="136"/>
      </rPr>
      <t>；</t>
    </r>
    <r>
      <rPr>
        <sz val="12"/>
        <color rgb="FF0000FF"/>
        <rFont val="微軟正黑體"/>
        <family val="2"/>
        <charset val="136"/>
      </rPr>
      <t xml:space="preserve">5項以上：3%
</t>
    </r>
    <r>
      <rPr>
        <sz val="12"/>
        <color theme="1"/>
        <rFont val="微軟正黑體"/>
        <family val="2"/>
        <charset val="136"/>
      </rPr>
      <t>7.人行通道騎樓設置：淨寬均達2公尺至6公尺，依</t>
    </r>
    <r>
      <rPr>
        <sz val="12"/>
        <color rgb="FF0000FF"/>
        <rFont val="微軟正黑體"/>
        <family val="2"/>
        <charset val="136"/>
      </rPr>
      <t xml:space="preserve">實際留設面積給予容積獎勵
</t>
    </r>
    <r>
      <rPr>
        <sz val="12"/>
        <color theme="1"/>
        <rFont val="微軟正黑體"/>
        <family val="2"/>
        <charset val="136"/>
      </rPr>
      <t>8.友善人行：協助基地同一街廓或毗鄰街廓整修騎樓或人行道，</t>
    </r>
    <r>
      <rPr>
        <sz val="12"/>
        <color rgb="FF0000FF"/>
        <rFont val="微軟正黑體"/>
        <family val="2"/>
        <charset val="136"/>
      </rPr>
      <t xml:space="preserve">1棟給予基準容積0.25%
</t>
    </r>
    <r>
      <rPr>
        <b/>
        <sz val="12"/>
        <color rgb="FFC00000"/>
        <rFont val="微軟正黑體"/>
        <family val="2"/>
        <charset val="136"/>
      </rPr>
      <t xml:space="preserve">進階級：
</t>
    </r>
    <r>
      <rPr>
        <sz val="12"/>
        <color theme="1"/>
        <rFont val="微軟正黑體"/>
        <family val="2"/>
        <charset val="136"/>
      </rPr>
      <t>1.基地退縮：臨8公尺以下道路退縮達4公尺以上
2.基地退縮：與鄰地境界線距離平均寬度達6公尺、最小淨寬達4公尺
3.人行通道：基地內留設寬8公尺以上之通道，最小淨寬達4公尺以上，且兩端均銜接公設用地或道路
4.開放空間：集中設置開放空間廣場達300平方公尺以上，最小淨寬達10公尺
5.附頂蓋開放空間：地面層鄰接開放空間側留設挑高半戶外空間，樑下淨高達6公尺以上，面積達72平方公尺以上，最小淨寬達8公尺以上
6.環境設計：建物斜對角距離平均未超過45公尺
前述符合</t>
    </r>
    <r>
      <rPr>
        <sz val="12"/>
        <color rgb="FF0000FF"/>
        <rFont val="微軟正黑體"/>
        <family val="2"/>
        <charset val="136"/>
      </rPr>
      <t>3項以上：2%</t>
    </r>
    <r>
      <rPr>
        <sz val="12"/>
        <color theme="1"/>
        <rFont val="微軟正黑體"/>
        <family val="2"/>
        <charset val="136"/>
      </rPr>
      <t>；</t>
    </r>
    <r>
      <rPr>
        <sz val="12"/>
        <color rgb="FF0000FF"/>
        <rFont val="微軟正黑體"/>
        <family val="2"/>
        <charset val="136"/>
      </rPr>
      <t>4項以上：4%</t>
    </r>
    <r>
      <rPr>
        <sz val="12"/>
        <color theme="1"/>
        <rFont val="微軟正黑體"/>
        <family val="2"/>
        <charset val="136"/>
      </rPr>
      <t>；</t>
    </r>
    <r>
      <rPr>
        <sz val="12"/>
        <color rgb="FF0000FF"/>
        <rFont val="微軟正黑體"/>
        <family val="2"/>
        <charset val="136"/>
      </rPr>
      <t>5項以上：6%</t>
    </r>
    <r>
      <rPr>
        <sz val="12"/>
        <color theme="1"/>
        <rFont val="微軟正黑體"/>
        <family val="2"/>
        <charset val="136"/>
      </rPr>
      <t xml:space="preserve">
7.人行通道騎樓設置：淨寬均達2公尺至6公尺，依</t>
    </r>
    <r>
      <rPr>
        <sz val="12"/>
        <color rgb="FF0000FF"/>
        <rFont val="微軟正黑體"/>
        <family val="2"/>
        <charset val="136"/>
      </rPr>
      <t>實際留設面積給予容積獎勵</t>
    </r>
    <r>
      <rPr>
        <sz val="12"/>
        <color theme="1"/>
        <rFont val="微軟正黑體"/>
        <family val="2"/>
        <charset val="136"/>
      </rPr>
      <t xml:space="preserve">
8.友善人行：協助基地同一街廓或毗鄰街廓整修騎樓或人行道，</t>
    </r>
    <r>
      <rPr>
        <sz val="12"/>
        <color rgb="FF0000FF"/>
        <rFont val="微軟正黑體"/>
        <family val="2"/>
        <charset val="136"/>
      </rPr>
      <t>1棟給予基準容積0.25%</t>
    </r>
    <phoneticPr fontId="1" type="noConversion"/>
  </si>
  <si>
    <t>視個案狀況及基地區位</t>
    <phoneticPr fontId="1" type="noConversion"/>
  </si>
  <si>
    <t>增額容積</t>
    <phoneticPr fontId="1" type="noConversion"/>
  </si>
  <si>
    <t>暫以住三評估</t>
    <phoneticPr fontId="1" type="noConversion"/>
  </si>
  <si>
    <t>視個案狀況與設計內容而定</t>
    <phoneticPr fontId="1" type="noConversion"/>
  </si>
  <si>
    <t>上限為法定容積50%或原建築容積+法定容積30%</t>
    <phoneticPr fontId="1" type="noConversion"/>
  </si>
  <si>
    <t>都更獎勵50%+道路容移0%+防災20%</t>
    <phoneticPr fontId="4" type="noConversion"/>
  </si>
  <si>
    <t>基地</t>
    <phoneticPr fontId="1" type="noConversion"/>
  </si>
  <si>
    <t>法令規定項目</t>
    <phoneticPr fontId="1" type="noConversion"/>
  </si>
  <si>
    <t>原容積</t>
    <phoneticPr fontId="1" type="noConversion"/>
  </si>
  <si>
    <t>法定容積</t>
    <phoneticPr fontId="1" type="noConversion"/>
  </si>
  <si>
    <t>獎勵加成</t>
    <phoneticPr fontId="1" type="noConversion"/>
  </si>
  <si>
    <t>允建上限總容積</t>
    <phoneticPr fontId="1" type="noConversion"/>
  </si>
  <si>
    <t>本案可申請</t>
    <phoneticPr fontId="1" type="noConversion"/>
  </si>
  <si>
    <t>1.2倍原容積</t>
    <phoneticPr fontId="1" type="noConversion"/>
  </si>
  <si>
    <t>原容積+0.3倍法定容積</t>
    <phoneticPr fontId="1" type="noConversion"/>
  </si>
  <si>
    <t>獎勵值下拉表單
(10%、8%)</t>
    <phoneticPr fontId="1" type="noConversion"/>
  </si>
  <si>
    <t>獎勵值下拉表單
(5%、3.5%)</t>
    <phoneticPr fontId="1" type="noConversion"/>
  </si>
  <si>
    <t>獎勵值下拉表單
(5%)</t>
    <phoneticPr fontId="1" type="noConversion"/>
  </si>
  <si>
    <t>獎勵值下拉表單
(10%、6%、4%、2%)</t>
    <phoneticPr fontId="1" type="noConversion"/>
  </si>
  <si>
    <t>獎勵值下拉表單(5%、4%、3%)</t>
    <phoneticPr fontId="1" type="noConversion"/>
  </si>
  <si>
    <t>獎勵值下拉表單
(10%、8%、6%、4%、2%)</t>
    <phoneticPr fontId="1" type="noConversion"/>
  </si>
  <si>
    <t>獎勵值下拉表單
(2%、3%)</t>
    <phoneticPr fontId="1" type="noConversion"/>
  </si>
  <si>
    <t>獎勵值下拉表單
(1%)</t>
    <phoneticPr fontId="1" type="noConversion"/>
  </si>
  <si>
    <t>獎勵值下拉表單
(3%)</t>
    <phoneticPr fontId="1" type="noConversion"/>
  </si>
  <si>
    <t>獎勵值下拉表單
(2%、3%、4%)</t>
    <phoneticPr fontId="1" type="noConversion"/>
  </si>
  <si>
    <t>獎勵值下拉表單
(0.25%)</t>
    <phoneticPr fontId="1" type="noConversion"/>
  </si>
  <si>
    <t>視個案狀況，應以使照存根面積打折估算；原容積應請建築師依據使照竣工圖核算並簽證後函請建管單位確認是否高於基準容積</t>
    <phoneticPr fontId="1" type="noConversion"/>
  </si>
  <si>
    <t>視個案狀況，以有謄本或使用執照之建築物經結構初評未達最低等級計算；有建物謄本無使用執照之建物，應請建築師檢討是否可以申請認定為合法建築且需取得該棟建築物100%地主同意；另需請結構技師或相關專業技師針對合法建築物鑑定及評估</t>
    <phoneticPr fontId="1" type="noConversion"/>
  </si>
  <si>
    <t>視個案狀況，並應以主管機關公告指定社會福利設施或其他公益設施為主</t>
    <phoneticPr fontId="1" type="noConversion"/>
  </si>
  <si>
    <t>視個案狀況，協助取得及開闢道路用地應取得土地捐贈同意書</t>
    <phoneticPr fontId="1" type="noConversion"/>
  </si>
  <si>
    <t>視個案狀況與建築師討論結果而定，暫以取得智慧建築銀級候選證書估計</t>
    <phoneticPr fontId="1" type="noConversion"/>
  </si>
  <si>
    <t>視個案狀況與建築師討論結果而定，暫以取得綠建築銀級候選證書估計。</t>
    <phoneticPr fontId="1" type="noConversion"/>
  </si>
  <si>
    <t>獎勵值下拉表單
(2%、4%)</t>
    <phoneticPr fontId="1" type="noConversion"/>
  </si>
  <si>
    <t>視個案狀況</t>
    <phoneticPr fontId="1" type="noConversion"/>
  </si>
  <si>
    <t>視個案狀況而定，舊違章戶之認定以民國77年8月1日以前興建完成者為限，並以實測面積為準</t>
    <phoneticPr fontId="1" type="noConversion"/>
  </si>
  <si>
    <t>備註
(初擬UI呈現方式)</t>
    <phoneticPr fontId="1" type="noConversion"/>
  </si>
  <si>
    <r>
      <t>本辦法108.5.15修正之條文施行日起</t>
    </r>
    <r>
      <rPr>
        <b/>
        <sz val="12"/>
        <color rgb="FFC00000"/>
        <rFont val="微軟正黑體"/>
        <family val="2"/>
        <charset val="136"/>
      </rPr>
      <t>一定期間內</t>
    </r>
    <r>
      <rPr>
        <sz val="12"/>
        <color theme="1"/>
        <rFont val="微軟正黑體"/>
        <family val="2"/>
        <charset val="136"/>
      </rPr>
      <t>，擬訂都市更新事業計畫</t>
    </r>
    <r>
      <rPr>
        <b/>
        <sz val="12"/>
        <color rgb="FFC00000"/>
        <rFont val="微軟正黑體"/>
        <family val="2"/>
        <charset val="136"/>
      </rPr>
      <t>報核</t>
    </r>
    <r>
      <rPr>
        <sz val="12"/>
        <color theme="1"/>
        <rFont val="微軟正黑體"/>
        <family val="2"/>
        <charset val="136"/>
      </rPr>
      <t>者，依下列規定給予獎勵容積：
1.</t>
    </r>
    <r>
      <rPr>
        <sz val="12"/>
        <color rgb="FF0000FF"/>
        <rFont val="微軟正黑體"/>
        <family val="2"/>
        <charset val="136"/>
      </rPr>
      <t>劃定應實施更新地區</t>
    </r>
    <r>
      <rPr>
        <sz val="12"/>
        <color theme="1"/>
        <rFont val="微軟正黑體"/>
        <family val="2"/>
        <charset val="136"/>
      </rPr>
      <t>：修正施行日起五年內：10%；</t>
    </r>
    <r>
      <rPr>
        <sz val="12"/>
        <color rgb="FF0000FF"/>
        <rFont val="微軟正黑體"/>
        <family val="2"/>
        <charset val="136"/>
      </rPr>
      <t>前述期間屆滿之次日起五年內：5%</t>
    </r>
    <r>
      <rPr>
        <sz val="12"/>
        <color theme="1"/>
        <rFont val="微軟正黑體"/>
        <family val="2"/>
        <charset val="136"/>
      </rPr>
      <t xml:space="preserve">
2.</t>
    </r>
    <r>
      <rPr>
        <sz val="12"/>
        <color rgb="FF0000FF"/>
        <rFont val="微軟正黑體"/>
        <family val="2"/>
        <charset val="136"/>
      </rPr>
      <t>未經劃定應實施更新地區</t>
    </r>
    <r>
      <rPr>
        <sz val="12"/>
        <color theme="1"/>
        <rFont val="微軟正黑體"/>
        <family val="2"/>
        <charset val="136"/>
      </rPr>
      <t>：修正施行日起五年內：7%；</t>
    </r>
    <r>
      <rPr>
        <sz val="12"/>
        <color rgb="FF0000FF"/>
        <rFont val="微軟正黑體"/>
        <family val="2"/>
        <charset val="136"/>
      </rPr>
      <t>前述期間屆滿之次日起五年內：3.5%</t>
    </r>
    <phoneticPr fontId="1" type="noConversion"/>
  </si>
  <si>
    <t>法定容積+0.5倍法定容積</t>
    <phoneticPr fontId="1" type="noConversion"/>
  </si>
  <si>
    <t>基地1</t>
    <phoneticPr fontId="1" type="noConversion"/>
  </si>
  <si>
    <t>基地2</t>
    <phoneticPr fontId="1" type="noConversion"/>
  </si>
  <si>
    <t>合計(基地1+基地2)</t>
    <phoneticPr fontId="1" type="noConversion"/>
  </si>
  <si>
    <t>-</t>
    <phoneticPr fontId="1" type="noConversion"/>
  </si>
  <si>
    <t>備註</t>
    <phoneticPr fontId="1" type="noConversion"/>
  </si>
  <si>
    <t>擇優</t>
    <phoneticPr fontId="1" type="noConversion"/>
  </si>
  <si>
    <t>僅適用涉及跨分區之基地</t>
    <phoneticPr fontId="1" type="noConversion"/>
  </si>
  <si>
    <t>基地資訊與可申請容積獎勵上限設定</t>
    <phoneticPr fontId="1" type="noConversion"/>
  </si>
  <si>
    <t>基地面積</t>
    <phoneticPr fontId="1" type="noConversion"/>
  </si>
  <si>
    <t>使用分區</t>
    <phoneticPr fontId="1" type="noConversion"/>
  </si>
  <si>
    <t>第三種住宅區</t>
    <phoneticPr fontId="1" type="noConversion"/>
  </si>
  <si>
    <t>容積率</t>
    <phoneticPr fontId="1" type="noConversion"/>
  </si>
  <si>
    <t>基地基本資料</t>
    <phoneticPr fontId="1" type="noConversion"/>
  </si>
  <si>
    <t>建物原容積</t>
    <phoneticPr fontId="1" type="noConversion"/>
  </si>
  <si>
    <t xml:space="preserve">(地上樓板面積－屋突面積)/設計樓層  </t>
    <phoneticPr fontId="4" type="noConversion"/>
  </si>
  <si>
    <t>上限為基準容積30% 
(實施都市更新地區、整體開發地區或面臨永久性空地可酌增至40%)</t>
    <phoneticPr fontId="1" type="noConversion"/>
  </si>
  <si>
    <t>一般區上限為基準容積40%、核心區上限為基準容積50%)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</si>
</sst>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43" formatCode="_-* #,##0.00_-;\-* #,##0.00_-;_-* &quot;-&quot;??_-;_-@_-"/>
    <numFmt numFmtId="176" formatCode="0&quot;㎡&quot;"/>
    <numFmt numFmtId="177" formatCode="0.00&quot;坪&quot;"/>
    <numFmt numFmtId="178" formatCode="0&quot;萬&quot;"/>
    <numFmt numFmtId="179" formatCode="&quot;合建&quot;0%"/>
    <numFmt numFmtId="180" formatCode="_(* #,##0.00_);_(* \(#,##0.00\);_(* &quot;-&quot;??_);_(@_)"/>
    <numFmt numFmtId="181" formatCode="0.00_);[Red]\(0.00\)"/>
    <numFmt numFmtId="182" formatCode="0.00&quot;㎡&quot;"/>
    <numFmt numFmtId="183" formatCode="&quot;平均建蔽率&quot;0%"/>
    <numFmt numFmtId="184" formatCode="&quot;平均容積率&quot;0%"/>
    <numFmt numFmtId="185" formatCode="0.0&quot;㎡&quot;"/>
    <numFmt numFmtId="186" formatCode="&quot;建蔽率&quot;0%"/>
    <numFmt numFmtId="187" formatCode="&quot;容積率&quot;0%"/>
    <numFmt numFmtId="188" formatCode="&quot;規劃開挖率&quot;0.00%"/>
    <numFmt numFmtId="189" formatCode="0.00&quot;公尺&quot;"/>
    <numFmt numFmtId="190" formatCode="#,##0.00&quot;萬/坪&quot;"/>
    <numFmt numFmtId="191" formatCode="&quot;法定建蔽&quot;0%"/>
    <numFmt numFmtId="192" formatCode="&quot;規劃建蔽率&quot;0%"/>
    <numFmt numFmtId="193" formatCode="0.00&quot;㎡&quot;\ "/>
    <numFmt numFmtId="194" formatCode="0.0%"/>
    <numFmt numFmtId="195" formatCode="&quot;屋突層數&quot;\ 0"/>
    <numFmt numFmtId="196" formatCode="&quot;設計量約&quot;0%"/>
    <numFmt numFmtId="197" formatCode="0.0"/>
    <numFmt numFmtId="198" formatCode="&quot;法定 &quot;#&quot;位&quot;"/>
    <numFmt numFmtId="199" formatCode="&quot;自設 &quot;0&quot;位&quot;"/>
    <numFmt numFmtId="200" formatCode="&quot;合計 &quot;#&quot;位&quot;"/>
    <numFmt numFmtId="201" formatCode="0.000"/>
    <numFmt numFmtId="202" formatCode="&quot;實設 &quot;#&quot;位&quot;"/>
    <numFmt numFmtId="203" formatCode="#,###.0&quot; ㎡&quot;\ "/>
    <numFmt numFmtId="204" formatCode="#,###.00&quot; ㎡&quot;\ "/>
    <numFmt numFmtId="205" formatCode="&quot;地下 &quot;0&quot;層&quot;"/>
    <numFmt numFmtId="206" formatCode="#&quot; 支梯&quot;"/>
    <numFmt numFmtId="207" formatCode="0.000_ "/>
    <numFmt numFmtId="208" formatCode="0.00&quot;層&quot;"/>
    <numFmt numFmtId="209" formatCode="&quot;(取整數&quot;\ 0&quot;層)&quot;"/>
    <numFmt numFmtId="210" formatCode="&quot;登記&quot;#,##0.00&quot;坪&quot;"/>
    <numFmt numFmtId="211" formatCode="&quot;(取整數&quot;0&quot;層)&quot;"/>
    <numFmt numFmtId="212" formatCode="0&quot;層&quot;"/>
    <numFmt numFmtId="213" formatCode="&quot;坪數規劃：&quot;0"/>
    <numFmt numFmtId="214" formatCode="0&quot;坪&quot;"/>
    <numFmt numFmtId="215" formatCode="&quot;假設單層&quot;0&quot;戶&quot;"/>
    <numFmt numFmtId="216" formatCode="&quot;每戶&quot;0.0&quot;坪&quot;"/>
    <numFmt numFmtId="217" formatCode="0&quot;戶&quot;"/>
    <numFmt numFmtId="218" formatCode="0&quot;位&quot;"/>
    <numFmt numFmtId="219" formatCode="0.00&quot;位/戶&quot;"/>
  </numFmts>
  <fonts count="39" x14ac:knownFonts="1">
    <font>
      <sz val="12"/>
      <color theme="1"/>
      <name val="新細明體"/>
      <family val="2"/>
      <charset val="136"/>
      <scheme val="minor"/>
    </font>
    <font>
      <sz val="9"/>
      <name val="新細明體"/>
      <family val="2"/>
      <charset val="136"/>
      <scheme val="minor"/>
    </font>
    <font>
      <sz val="12"/>
      <name val="Courier"/>
      <family val="3"/>
    </font>
    <font>
      <b/>
      <sz val="20"/>
      <name val="微軟正黑體"/>
      <family val="2"/>
      <charset val="136"/>
    </font>
    <font>
      <sz val="9"/>
      <name val="細明體"/>
      <family val="3"/>
      <charset val="136"/>
    </font>
    <font>
      <sz val="12"/>
      <name val="微軟正黑體"/>
      <family val="2"/>
      <charset val="136"/>
    </font>
    <font>
      <b/>
      <sz val="14"/>
      <name val="微軟正黑體"/>
      <family val="2"/>
      <charset val="136"/>
    </font>
    <font>
      <b/>
      <sz val="16"/>
      <name val="微軟正黑體"/>
      <family val="2"/>
      <charset val="136"/>
    </font>
    <font>
      <sz val="16"/>
      <name val="Courier"/>
      <family val="3"/>
    </font>
    <font>
      <b/>
      <sz val="14"/>
      <color rgb="FFFF0000"/>
      <name val="微軟正黑體"/>
      <family val="2"/>
      <charset val="136"/>
    </font>
    <font>
      <sz val="14"/>
      <name val="微軟正黑體"/>
      <family val="2"/>
      <charset val="136"/>
    </font>
    <font>
      <sz val="12"/>
      <name val="新細明體"/>
      <family val="1"/>
      <charset val="136"/>
    </font>
    <font>
      <sz val="12"/>
      <color rgb="FF0000FF"/>
      <name val="微軟正黑體"/>
      <family val="2"/>
      <charset val="136"/>
    </font>
    <font>
      <b/>
      <sz val="12"/>
      <name val="微軟正黑體"/>
      <family val="2"/>
      <charset val="136"/>
    </font>
    <font>
      <u/>
      <sz val="12"/>
      <name val="微軟正黑體"/>
      <family val="2"/>
      <charset val="136"/>
    </font>
    <font>
      <sz val="12"/>
      <color rgb="FFFF0000"/>
      <name val="微軟正黑體"/>
      <family val="2"/>
      <charset val="136"/>
    </font>
    <font>
      <sz val="9"/>
      <name val="新細明體"/>
      <family val="1"/>
      <charset val="136"/>
    </font>
    <font>
      <b/>
      <sz val="12"/>
      <color rgb="FFFF0000"/>
      <name val="微軟正黑體"/>
      <family val="2"/>
      <charset val="136"/>
    </font>
    <font>
      <b/>
      <u/>
      <sz val="12"/>
      <color rgb="FFFF0000"/>
      <name val="微軟正黑體"/>
      <family val="2"/>
      <charset val="136"/>
    </font>
    <font>
      <u/>
      <sz val="12"/>
      <color rgb="FFFF0000"/>
      <name val="微軟正黑體"/>
      <family val="2"/>
      <charset val="136"/>
    </font>
    <font>
      <sz val="12"/>
      <color rgb="FF7030A0"/>
      <name val="微軟正黑體"/>
      <family val="2"/>
      <charset val="136"/>
    </font>
    <font>
      <sz val="12"/>
      <color indexed="63"/>
      <name val="微軟正黑體"/>
      <family val="2"/>
      <charset val="136"/>
    </font>
    <font>
      <sz val="12"/>
      <color indexed="23"/>
      <name val="微軟正黑體"/>
      <family val="2"/>
      <charset val="136"/>
    </font>
    <font>
      <sz val="12"/>
      <color indexed="55"/>
      <name val="微軟正黑體"/>
      <family val="2"/>
      <charset val="136"/>
    </font>
    <font>
      <sz val="12"/>
      <color indexed="16"/>
      <name val="微軟正黑體"/>
      <family val="2"/>
      <charset val="136"/>
    </font>
    <font>
      <sz val="12"/>
      <color indexed="20"/>
      <name val="微軟正黑體"/>
      <family val="2"/>
      <charset val="136"/>
    </font>
    <font>
      <sz val="16"/>
      <name val="微軟正黑體"/>
      <family val="2"/>
      <charset val="136"/>
    </font>
    <font>
      <sz val="14"/>
      <color rgb="FFFF0000"/>
      <name val="微軟正黑體"/>
      <family val="2"/>
      <charset val="136"/>
    </font>
    <font>
      <b/>
      <sz val="15"/>
      <color theme="1"/>
      <name val="微軟正黑體"/>
      <family val="2"/>
      <charset val="136"/>
    </font>
    <font>
      <b/>
      <sz val="14"/>
      <color theme="1"/>
      <name val="微軟正黑體"/>
      <family val="2"/>
      <charset val="136"/>
    </font>
    <font>
      <sz val="12"/>
      <color theme="1"/>
      <name val="微軟正黑體"/>
      <family val="2"/>
      <charset val="136"/>
    </font>
    <font>
      <b/>
      <sz val="12"/>
      <color theme="1"/>
      <name val="微軟正黑體"/>
      <family val="2"/>
      <charset val="136"/>
    </font>
    <font>
      <sz val="12"/>
      <color theme="1"/>
      <name val="新細明體"/>
      <family val="1"/>
      <charset val="136"/>
    </font>
    <font>
      <b/>
      <sz val="12"/>
      <color theme="1"/>
      <name val="新細明體"/>
      <family val="1"/>
      <charset val="136"/>
    </font>
    <font>
      <sz val="12"/>
      <color theme="1"/>
      <name val="新細明體"/>
      <family val="2"/>
      <charset val="136"/>
      <scheme val="minor"/>
    </font>
    <font>
      <b/>
      <sz val="12"/>
      <color rgb="FFC00000"/>
      <name val="微軟正黑體"/>
      <family val="2"/>
      <charset val="136"/>
    </font>
    <font>
      <b/>
      <sz val="12"/>
      <color rgb="FF7030A0"/>
      <name val="微軟正黑體"/>
      <family val="2"/>
      <charset val="136"/>
    </font>
    <font>
      <b/>
      <sz val="12"/>
      <color rgb="FF00B050"/>
      <name val="微軟正黑體"/>
      <family val="2"/>
      <charset val="136"/>
    </font>
    <font>
      <sz val="10.199999999999999"/>
      <color theme="1"/>
      <name val="微軟正黑體"/>
      <family val="2"/>
      <charset val="136"/>
    </font>
  </fonts>
  <fills count="8">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50">
    <border>
      <left/>
      <right/>
      <top/>
      <bottom/>
      <diagonal/>
    </border>
    <border>
      <left/>
      <right/>
      <top/>
      <bottom style="medium">
        <color indexed="64"/>
      </bottom>
      <diagonal/>
    </border>
    <border>
      <left style="medium">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medium">
        <color indexed="64"/>
      </right>
      <top/>
      <bottom style="medium">
        <color indexed="64"/>
      </bottom>
      <diagonal/>
    </border>
    <border>
      <left/>
      <right style="hair">
        <color indexed="64"/>
      </right>
      <top style="medium">
        <color indexed="64"/>
      </top>
      <bottom/>
      <diagonal/>
    </border>
    <border>
      <left style="hair">
        <color indexed="64"/>
      </left>
      <right style="hair">
        <color indexed="64"/>
      </right>
      <top style="medium">
        <color indexed="64"/>
      </top>
      <bottom/>
      <diagonal/>
    </border>
    <border>
      <left style="medium">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style="medium">
        <color indexed="64"/>
      </left>
      <right style="medium">
        <color indexed="64"/>
      </right>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9">
    <xf numFmtId="0" fontId="0" fillId="0" borderId="0">
      <alignment vertical="center"/>
    </xf>
    <xf numFmtId="1" fontId="2" fillId="0" borderId="0"/>
    <xf numFmtId="180" fontId="11" fillId="0" borderId="0" applyFont="0" applyFill="0" applyBorder="0" applyAlignment="0" applyProtection="0"/>
    <xf numFmtId="43" fontId="11" fillId="0" borderId="0" applyFont="0" applyFill="0" applyBorder="0" applyAlignment="0" applyProtection="0"/>
    <xf numFmtId="1" fontId="2" fillId="0" borderId="0"/>
    <xf numFmtId="9" fontId="11" fillId="0" borderId="0" applyFont="0" applyFill="0" applyBorder="0" applyAlignment="0" applyProtection="0"/>
    <xf numFmtId="0" fontId="11" fillId="0" borderId="0">
      <alignment vertical="center"/>
    </xf>
    <xf numFmtId="43" fontId="34" fillId="0" borderId="0" applyFont="0" applyFill="0" applyBorder="0" applyAlignment="0" applyProtection="0">
      <alignment vertical="center"/>
    </xf>
    <xf numFmtId="9" fontId="34" fillId="0" borderId="0" applyFont="0" applyFill="0" applyBorder="0" applyAlignment="0" applyProtection="0">
      <alignment vertical="center"/>
    </xf>
  </cellStyleXfs>
  <cellXfs count="285">
    <xf numFmtId="0" fontId="0" fillId="0" borderId="0" xfId="0">
      <alignment vertical="center"/>
    </xf>
    <xf numFmtId="1" fontId="3" fillId="0" borderId="0" xfId="1" applyFont="1" applyAlignment="1">
      <alignment horizontal="center" vertical="center"/>
    </xf>
    <xf numFmtId="1" fontId="5" fillId="0" borderId="0" xfId="1" applyFont="1" applyAlignment="1">
      <alignment vertical="center"/>
    </xf>
    <xf numFmtId="2" fontId="5" fillId="0" borderId="0" xfId="1" applyNumberFormat="1" applyFont="1" applyAlignment="1">
      <alignment horizontal="center" vertical="center"/>
    </xf>
    <xf numFmtId="176" fontId="5" fillId="0" borderId="0" xfId="1" applyNumberFormat="1" applyFont="1" applyAlignment="1">
      <alignment horizontal="center" vertical="center"/>
    </xf>
    <xf numFmtId="177" fontId="5" fillId="0" borderId="0" xfId="1" applyNumberFormat="1" applyFont="1" applyAlignment="1">
      <alignment horizontal="center" vertical="center"/>
    </xf>
    <xf numFmtId="1" fontId="6" fillId="0" borderId="1" xfId="1" applyFont="1" applyBorder="1" applyAlignment="1">
      <alignment horizontal="right" vertical="center" wrapText="1"/>
    </xf>
    <xf numFmtId="179" fontId="9" fillId="2" borderId="1" xfId="1" applyNumberFormat="1" applyFont="1" applyFill="1" applyBorder="1" applyAlignment="1">
      <alignment horizontal="center" vertical="center"/>
    </xf>
    <xf numFmtId="1" fontId="10" fillId="0" borderId="0" xfId="1" applyFont="1" applyAlignment="1">
      <alignment vertical="center"/>
    </xf>
    <xf numFmtId="1" fontId="5" fillId="0" borderId="3" xfId="1" applyFont="1" applyBorder="1" applyAlignment="1">
      <alignment horizontal="right" vertical="center"/>
    </xf>
    <xf numFmtId="1" fontId="5" fillId="0" borderId="0" xfId="1" quotePrefix="1" applyFont="1" applyAlignment="1">
      <alignment horizontal="right" vertical="center"/>
    </xf>
    <xf numFmtId="1" fontId="5" fillId="0" borderId="7" xfId="1" applyFont="1" applyBorder="1" applyAlignment="1">
      <alignment horizontal="right" vertical="center"/>
    </xf>
    <xf numFmtId="1" fontId="5" fillId="0" borderId="12" xfId="1" applyFont="1" applyBorder="1" applyAlignment="1">
      <alignment horizontal="right" vertical="center"/>
    </xf>
    <xf numFmtId="1" fontId="5" fillId="0" borderId="17" xfId="1" applyFont="1" applyBorder="1" applyAlignment="1">
      <alignment horizontal="center" vertical="center"/>
    </xf>
    <xf numFmtId="1" fontId="5" fillId="0" borderId="0" xfId="1" applyFont="1" applyAlignment="1">
      <alignment horizontal="center" vertical="center"/>
    </xf>
    <xf numFmtId="1" fontId="5" fillId="0" borderId="21" xfId="1" applyFont="1" applyBorder="1" applyAlignment="1">
      <alignment horizontal="right" vertical="center"/>
    </xf>
    <xf numFmtId="2" fontId="5" fillId="0" borderId="22" xfId="1" applyNumberFormat="1" applyFont="1" applyBorder="1" applyAlignment="1">
      <alignment vertical="center"/>
    </xf>
    <xf numFmtId="1" fontId="5" fillId="0" borderId="0" xfId="4" applyFont="1"/>
    <xf numFmtId="2" fontId="5" fillId="0" borderId="0" xfId="4" applyNumberFormat="1" applyFont="1"/>
    <xf numFmtId="2" fontId="5" fillId="0" borderId="4" xfId="1" applyNumberFormat="1" applyFont="1" applyBorder="1" applyAlignment="1">
      <alignment vertical="center"/>
    </xf>
    <xf numFmtId="1" fontId="5" fillId="0" borderId="4" xfId="1" applyFont="1" applyBorder="1" applyAlignment="1">
      <alignment vertical="center"/>
    </xf>
    <xf numFmtId="178" fontId="5" fillId="0" borderId="0" xfId="1" applyNumberFormat="1" applyFont="1" applyAlignment="1">
      <alignment horizontal="right" vertical="center"/>
    </xf>
    <xf numFmtId="2" fontId="5" fillId="0" borderId="13" xfId="1" applyNumberFormat="1" applyFont="1" applyBorder="1" applyAlignment="1">
      <alignment vertical="center"/>
    </xf>
    <xf numFmtId="1" fontId="5" fillId="0" borderId="0" xfId="1" applyFont="1" applyAlignment="1">
      <alignment horizontal="right" vertical="center"/>
    </xf>
    <xf numFmtId="2" fontId="5" fillId="3" borderId="28" xfId="1" applyNumberFormat="1" applyFont="1" applyFill="1" applyBorder="1" applyAlignment="1">
      <alignment horizontal="right" vertical="center"/>
    </xf>
    <xf numFmtId="2" fontId="5" fillId="3" borderId="4" xfId="1" applyNumberFormat="1" applyFont="1" applyFill="1" applyBorder="1" applyAlignment="1">
      <alignment vertical="center"/>
    </xf>
    <xf numFmtId="1" fontId="5" fillId="3" borderId="21" xfId="1" applyFont="1" applyFill="1" applyBorder="1" applyAlignment="1">
      <alignment horizontal="right" vertical="center"/>
    </xf>
    <xf numFmtId="2" fontId="5" fillId="3" borderId="22" xfId="1" applyNumberFormat="1" applyFont="1" applyFill="1" applyBorder="1" applyAlignment="1">
      <alignment vertical="center"/>
    </xf>
    <xf numFmtId="1" fontId="5" fillId="3" borderId="7" xfId="1" applyFont="1" applyFill="1" applyBorder="1" applyAlignment="1">
      <alignment horizontal="right" vertical="center"/>
    </xf>
    <xf numFmtId="10" fontId="5" fillId="0" borderId="0" xfId="5" applyNumberFormat="1" applyFont="1" applyAlignment="1">
      <alignment vertical="center"/>
    </xf>
    <xf numFmtId="193" fontId="5" fillId="0" borderId="0" xfId="1" applyNumberFormat="1" applyFont="1" applyAlignment="1">
      <alignment vertical="center"/>
    </xf>
    <xf numFmtId="2" fontId="5" fillId="0" borderId="29" xfId="1" applyNumberFormat="1" applyFont="1" applyBorder="1" applyAlignment="1">
      <alignment vertical="center"/>
    </xf>
    <xf numFmtId="1" fontId="5" fillId="3" borderId="3" xfId="1" applyFont="1" applyFill="1" applyBorder="1" applyAlignment="1">
      <alignment horizontal="right" vertical="center"/>
    </xf>
    <xf numFmtId="198" fontId="5" fillId="3" borderId="29" xfId="1" applyNumberFormat="1" applyFont="1" applyFill="1" applyBorder="1" applyAlignment="1">
      <alignment vertical="center"/>
    </xf>
    <xf numFmtId="199" fontId="18" fillId="2" borderId="29" xfId="1" applyNumberFormat="1" applyFont="1" applyFill="1" applyBorder="1" applyAlignment="1">
      <alignment vertical="center"/>
    </xf>
    <xf numFmtId="1" fontId="21" fillId="0" borderId="0" xfId="1" applyFont="1" applyAlignment="1">
      <alignment horizontal="center" vertical="center"/>
    </xf>
    <xf numFmtId="201" fontId="5" fillId="0" borderId="0" xfId="1" applyNumberFormat="1" applyFont="1" applyAlignment="1">
      <alignment vertical="center"/>
    </xf>
    <xf numFmtId="202" fontId="5" fillId="3" borderId="4" xfId="1" applyNumberFormat="1" applyFont="1" applyFill="1" applyBorder="1" applyAlignment="1">
      <alignment vertical="center"/>
    </xf>
    <xf numFmtId="202" fontId="5" fillId="0" borderId="4" xfId="1" applyNumberFormat="1" applyFont="1" applyBorder="1" applyAlignment="1">
      <alignment vertical="center"/>
    </xf>
    <xf numFmtId="1" fontId="21" fillId="0" borderId="0" xfId="1" applyFont="1" applyAlignment="1">
      <alignment horizontal="left" vertical="center"/>
    </xf>
    <xf numFmtId="207" fontId="5" fillId="0" borderId="0" xfId="1" applyNumberFormat="1" applyFont="1" applyAlignment="1">
      <alignment horizontal="left" vertical="center"/>
    </xf>
    <xf numFmtId="1" fontId="22" fillId="3" borderId="7" xfId="1" applyFont="1" applyFill="1" applyBorder="1" applyAlignment="1">
      <alignment horizontal="right" vertical="center"/>
    </xf>
    <xf numFmtId="2" fontId="22" fillId="3" borderId="4" xfId="1" applyNumberFormat="1" applyFont="1" applyFill="1" applyBorder="1" applyAlignment="1">
      <alignment vertical="center"/>
    </xf>
    <xf numFmtId="2" fontId="22" fillId="0" borderId="4" xfId="1" applyNumberFormat="1" applyFont="1" applyBorder="1" applyAlignment="1">
      <alignment vertical="center"/>
    </xf>
    <xf numFmtId="180" fontId="23" fillId="0" borderId="9" xfId="2" applyFont="1" applyBorder="1" applyAlignment="1">
      <alignment horizontal="center" vertical="center"/>
    </xf>
    <xf numFmtId="194" fontId="22" fillId="0" borderId="7" xfId="5" applyNumberFormat="1" applyFont="1" applyBorder="1" applyAlignment="1">
      <alignment horizontal="center" vertical="center"/>
    </xf>
    <xf numFmtId="1" fontId="5" fillId="3" borderId="12" xfId="1" applyFont="1" applyFill="1" applyBorder="1" applyAlignment="1">
      <alignment horizontal="right" vertical="center"/>
    </xf>
    <xf numFmtId="1" fontId="5" fillId="0" borderId="13" xfId="1" applyFont="1" applyBorder="1" applyAlignment="1">
      <alignment horizontal="center" vertical="center"/>
    </xf>
    <xf numFmtId="2" fontId="20" fillId="3" borderId="4" xfId="1" applyNumberFormat="1" applyFont="1" applyFill="1" applyBorder="1" applyAlignment="1">
      <alignment vertical="center"/>
    </xf>
    <xf numFmtId="180" fontId="5" fillId="0" borderId="4" xfId="2" applyFont="1" applyBorder="1" applyAlignment="1">
      <alignment vertical="center"/>
    </xf>
    <xf numFmtId="208" fontId="5" fillId="0" borderId="22" xfId="1" applyNumberFormat="1" applyFont="1" applyBorder="1" applyAlignment="1">
      <alignment vertical="center"/>
    </xf>
    <xf numFmtId="211" fontId="5" fillId="0" borderId="22" xfId="1" applyNumberFormat="1" applyFont="1" applyBorder="1" applyAlignment="1">
      <alignment vertical="center"/>
    </xf>
    <xf numFmtId="212" fontId="19" fillId="2" borderId="4" xfId="1" applyNumberFormat="1" applyFont="1" applyFill="1" applyBorder="1" applyAlignment="1">
      <alignment vertical="center"/>
    </xf>
    <xf numFmtId="214" fontId="5" fillId="0" borderId="4" xfId="1" applyNumberFormat="1" applyFont="1" applyBorder="1" applyAlignment="1">
      <alignment vertical="center"/>
    </xf>
    <xf numFmtId="215" fontId="18" fillId="2" borderId="4" xfId="1" applyNumberFormat="1" applyFont="1" applyFill="1" applyBorder="1" applyAlignment="1">
      <alignment vertical="center"/>
    </xf>
    <xf numFmtId="1" fontId="13" fillId="0" borderId="12" xfId="1" applyFont="1" applyBorder="1" applyAlignment="1">
      <alignment horizontal="right" vertical="center"/>
    </xf>
    <xf numFmtId="213" fontId="5" fillId="0" borderId="4" xfId="1" applyNumberFormat="1" applyFont="1" applyBorder="1" applyAlignment="1">
      <alignment vertical="center"/>
    </xf>
    <xf numFmtId="178" fontId="5" fillId="0" borderId="0" xfId="1" applyNumberFormat="1" applyFont="1" applyAlignment="1">
      <alignment vertical="center"/>
    </xf>
    <xf numFmtId="1" fontId="10" fillId="0" borderId="0" xfId="1" applyFont="1" applyAlignment="1">
      <alignment horizontal="center" vertical="center"/>
    </xf>
    <xf numFmtId="2" fontId="10" fillId="0" borderId="0" xfId="1" applyNumberFormat="1" applyFont="1" applyAlignment="1">
      <alignment horizontal="center" vertical="center"/>
    </xf>
    <xf numFmtId="3" fontId="12" fillId="0" borderId="0" xfId="2" applyNumberFormat="1" applyFont="1" applyFill="1" applyBorder="1" applyAlignment="1">
      <alignment horizontal="center" vertical="center"/>
    </xf>
    <xf numFmtId="3" fontId="15" fillId="0" borderId="0" xfId="2" applyNumberFormat="1" applyFont="1" applyFill="1" applyBorder="1" applyAlignment="1">
      <alignment horizontal="center" vertical="center"/>
    </xf>
    <xf numFmtId="3" fontId="5" fillId="0" borderId="0" xfId="2" applyNumberFormat="1" applyFont="1" applyFill="1" applyBorder="1" applyAlignment="1">
      <alignment horizontal="center" vertical="center"/>
    </xf>
    <xf numFmtId="10" fontId="5" fillId="0" borderId="0" xfId="5" quotePrefix="1" applyNumberFormat="1" applyFont="1" applyAlignment="1">
      <alignment horizontal="right" vertical="center"/>
    </xf>
    <xf numFmtId="190" fontId="5" fillId="0" borderId="0" xfId="3" applyNumberFormat="1" applyFont="1" applyFill="1" applyBorder="1" applyAlignment="1">
      <alignment horizontal="center" vertical="center"/>
    </xf>
    <xf numFmtId="176" fontId="5" fillId="0" borderId="0" xfId="1" applyNumberFormat="1" applyFont="1" applyAlignment="1">
      <alignment horizontal="right" vertical="center"/>
    </xf>
    <xf numFmtId="177" fontId="5" fillId="0" borderId="0" xfId="1" applyNumberFormat="1" applyFont="1" applyAlignment="1">
      <alignment horizontal="right" vertical="center"/>
    </xf>
    <xf numFmtId="190" fontId="5" fillId="0" borderId="0" xfId="2" applyNumberFormat="1" applyFont="1" applyFill="1" applyBorder="1" applyAlignment="1">
      <alignment horizontal="center" vertical="center"/>
    </xf>
    <xf numFmtId="2" fontId="5" fillId="0" borderId="0" xfId="1" applyNumberFormat="1" applyFont="1" applyAlignment="1">
      <alignment vertical="center"/>
    </xf>
    <xf numFmtId="1" fontId="6" fillId="0" borderId="1" xfId="1" applyFont="1" applyBorder="1" applyAlignment="1">
      <alignment horizontal="center" vertical="center" wrapText="1"/>
    </xf>
    <xf numFmtId="1" fontId="13" fillId="0" borderId="25" xfId="1" applyFont="1" applyBorder="1" applyAlignment="1">
      <alignment horizontal="right" vertical="center"/>
    </xf>
    <xf numFmtId="2" fontId="13" fillId="0" borderId="26" xfId="1" applyNumberFormat="1" applyFont="1" applyBorder="1" applyAlignment="1">
      <alignment vertical="center"/>
    </xf>
    <xf numFmtId="209" fontId="24" fillId="0" borderId="13" xfId="1" applyNumberFormat="1" applyFont="1" applyBorder="1" applyAlignment="1">
      <alignment vertical="center"/>
    </xf>
    <xf numFmtId="180" fontId="5" fillId="0" borderId="4" xfId="2" applyFont="1" applyFill="1" applyBorder="1" applyAlignment="1">
      <alignment vertical="center"/>
    </xf>
    <xf numFmtId="190" fontId="5" fillId="0" borderId="0" xfId="3" applyNumberFormat="1" applyFont="1" applyFill="1" applyAlignment="1">
      <alignment horizontal="center" vertical="center"/>
    </xf>
    <xf numFmtId="190" fontId="5" fillId="0" borderId="0" xfId="2" applyNumberFormat="1" applyFont="1" applyFill="1" applyAlignment="1">
      <alignment horizontal="center" vertical="center"/>
    </xf>
    <xf numFmtId="2" fontId="5" fillId="0" borderId="28" xfId="1" applyNumberFormat="1" applyFont="1" applyBorder="1" applyAlignment="1">
      <alignment horizontal="right" vertical="center"/>
    </xf>
    <xf numFmtId="10" fontId="5" fillId="0" borderId="0" xfId="5" applyNumberFormat="1" applyFont="1" applyFill="1" applyAlignment="1">
      <alignment vertical="center"/>
    </xf>
    <xf numFmtId="182" fontId="19" fillId="2" borderId="4" xfId="1" applyNumberFormat="1" applyFont="1" applyFill="1" applyBorder="1" applyAlignment="1">
      <alignment vertical="center"/>
    </xf>
    <xf numFmtId="186" fontId="19" fillId="2" borderId="4" xfId="1" applyNumberFormat="1" applyFont="1" applyFill="1" applyBorder="1" applyAlignment="1">
      <alignment vertical="center"/>
    </xf>
    <xf numFmtId="187" fontId="19" fillId="2" borderId="4" xfId="1" applyNumberFormat="1" applyFont="1" applyFill="1" applyBorder="1" applyAlignment="1">
      <alignment vertical="center"/>
    </xf>
    <xf numFmtId="3" fontId="12" fillId="0" borderId="0" xfId="2" applyNumberFormat="1" applyFont="1" applyFill="1" applyAlignment="1">
      <alignment horizontal="center" vertical="center"/>
    </xf>
    <xf numFmtId="2" fontId="10" fillId="0" borderId="0" xfId="1" applyNumberFormat="1" applyFont="1" applyAlignment="1">
      <alignment vertical="center"/>
    </xf>
    <xf numFmtId="3" fontId="15" fillId="0" borderId="0" xfId="2" applyNumberFormat="1" applyFont="1" applyFill="1" applyAlignment="1">
      <alignment horizontal="center" vertical="center"/>
    </xf>
    <xf numFmtId="3" fontId="5" fillId="0" borderId="0" xfId="2" applyNumberFormat="1" applyFont="1" applyFill="1" applyAlignment="1">
      <alignment horizontal="center" vertical="center"/>
    </xf>
    <xf numFmtId="208" fontId="13" fillId="3" borderId="13" xfId="1" applyNumberFormat="1" applyFont="1" applyFill="1" applyBorder="1" applyAlignment="1">
      <alignment vertical="center"/>
    </xf>
    <xf numFmtId="2" fontId="27" fillId="2" borderId="0" xfId="1" applyNumberFormat="1" applyFont="1" applyFill="1" applyAlignment="1">
      <alignment horizontal="center" vertical="center"/>
    </xf>
    <xf numFmtId="185" fontId="19" fillId="2" borderId="4" xfId="1" applyNumberFormat="1" applyFont="1" applyFill="1" applyBorder="1" applyAlignment="1">
      <alignment vertical="center"/>
    </xf>
    <xf numFmtId="1" fontId="28" fillId="0" borderId="0" xfId="1" applyFont="1" applyAlignment="1">
      <alignment horizontal="center" vertical="center"/>
    </xf>
    <xf numFmtId="1" fontId="29" fillId="0" borderId="1" xfId="1" applyFont="1" applyBorder="1" applyAlignment="1">
      <alignment vertical="center"/>
    </xf>
    <xf numFmtId="181" fontId="30" fillId="0" borderId="5" xfId="1" applyNumberFormat="1" applyFont="1" applyBorder="1" applyAlignment="1">
      <alignment vertical="center"/>
    </xf>
    <xf numFmtId="181" fontId="30" fillId="0" borderId="8" xfId="1" applyNumberFormat="1" applyFont="1" applyBorder="1" applyAlignment="1">
      <alignment vertical="center"/>
    </xf>
    <xf numFmtId="9" fontId="30" fillId="0" borderId="8" xfId="1" applyNumberFormat="1" applyFont="1" applyBorder="1" applyAlignment="1">
      <alignment horizontal="left" vertical="center"/>
    </xf>
    <xf numFmtId="9" fontId="31" fillId="0" borderId="8" xfId="1" applyNumberFormat="1" applyFont="1" applyBorder="1" applyAlignment="1">
      <alignment horizontal="left" vertical="center"/>
    </xf>
    <xf numFmtId="9" fontId="30" fillId="0" borderId="10" xfId="1" applyNumberFormat="1" applyFont="1" applyBorder="1" applyAlignment="1">
      <alignment horizontal="left" vertical="center"/>
    </xf>
    <xf numFmtId="1" fontId="30" fillId="0" borderId="14" xfId="1" applyFont="1" applyBorder="1" applyAlignment="1">
      <alignment vertical="center"/>
    </xf>
    <xf numFmtId="1" fontId="30" fillId="0" borderId="19" xfId="1" applyFont="1" applyBorder="1" applyAlignment="1">
      <alignment horizontal="center" vertical="center" wrapText="1"/>
    </xf>
    <xf numFmtId="1" fontId="30" fillId="0" borderId="23" xfId="1" applyFont="1" applyBorder="1" applyAlignment="1">
      <alignment horizontal="left" vertical="center" wrapText="1"/>
    </xf>
    <xf numFmtId="1" fontId="30" fillId="0" borderId="8" xfId="1" applyFont="1" applyBorder="1" applyAlignment="1">
      <alignment horizontal="left" vertical="center" wrapText="1"/>
    </xf>
    <xf numFmtId="1" fontId="30" fillId="0" borderId="14" xfId="1" applyFont="1" applyBorder="1" applyAlignment="1">
      <alignment horizontal="left" vertical="center" wrapText="1"/>
    </xf>
    <xf numFmtId="1" fontId="30" fillId="0" borderId="5" xfId="1" applyFont="1" applyBorder="1" applyAlignment="1">
      <alignment horizontal="left" vertical="center" wrapText="1"/>
    </xf>
    <xf numFmtId="1" fontId="31" fillId="3" borderId="10" xfId="1" applyFont="1" applyFill="1" applyBorder="1" applyAlignment="1">
      <alignment horizontal="left" vertical="center"/>
    </xf>
    <xf numFmtId="9" fontId="30" fillId="3" borderId="8" xfId="1" applyNumberFormat="1" applyFont="1" applyFill="1" applyBorder="1" applyAlignment="1">
      <alignment horizontal="left" vertical="center" wrapText="1"/>
    </xf>
    <xf numFmtId="9" fontId="31" fillId="3" borderId="8" xfId="1" applyNumberFormat="1" applyFont="1" applyFill="1" applyBorder="1" applyAlignment="1">
      <alignment horizontal="left" vertical="center"/>
    </xf>
    <xf numFmtId="197" fontId="30" fillId="0" borderId="14" xfId="1" applyNumberFormat="1" applyFont="1" applyBorder="1" applyAlignment="1">
      <alignment horizontal="left" vertical="center" wrapText="1"/>
    </xf>
    <xf numFmtId="1" fontId="31" fillId="0" borderId="5" xfId="1" applyFont="1" applyBorder="1" applyAlignment="1">
      <alignment horizontal="left" vertical="center" wrapText="1"/>
    </xf>
    <xf numFmtId="1" fontId="31" fillId="0" borderId="8" xfId="1" applyFont="1" applyBorder="1" applyAlignment="1">
      <alignment horizontal="left" vertical="center" wrapText="1"/>
    </xf>
    <xf numFmtId="1" fontId="30" fillId="3" borderId="8" xfId="1" applyFont="1" applyFill="1" applyBorder="1" applyAlignment="1">
      <alignment horizontal="left" vertical="center" wrapText="1"/>
    </xf>
    <xf numFmtId="1" fontId="30" fillId="0" borderId="0" xfId="1" applyFont="1" applyAlignment="1">
      <alignment vertical="center"/>
    </xf>
    <xf numFmtId="1" fontId="31" fillId="0" borderId="10" xfId="1" applyFont="1" applyBorder="1" applyAlignment="1">
      <alignment horizontal="left" vertical="center"/>
    </xf>
    <xf numFmtId="9" fontId="30" fillId="0" borderId="8" xfId="1" applyNumberFormat="1" applyFont="1" applyBorder="1" applyAlignment="1">
      <alignment horizontal="left" vertical="center" wrapText="1"/>
    </xf>
    <xf numFmtId="1" fontId="32" fillId="0" borderId="5" xfId="1" applyFont="1" applyBorder="1" applyAlignment="1">
      <alignment horizontal="left" vertical="center" wrapText="1"/>
    </xf>
    <xf numFmtId="1" fontId="32" fillId="0" borderId="0" xfId="1" applyFont="1" applyAlignment="1">
      <alignment vertical="center"/>
    </xf>
    <xf numFmtId="179" fontId="6" fillId="0" borderId="1" xfId="1" applyNumberFormat="1" applyFont="1" applyBorder="1" applyAlignment="1">
      <alignment horizontal="center" vertical="center"/>
    </xf>
    <xf numFmtId="0" fontId="30" fillId="0" borderId="0" xfId="0" applyFont="1">
      <alignment vertical="center"/>
    </xf>
    <xf numFmtId="43" fontId="30" fillId="0" borderId="0" xfId="7" applyFont="1">
      <alignment vertical="center"/>
    </xf>
    <xf numFmtId="9" fontId="30" fillId="0" borderId="0" xfId="8" applyFont="1">
      <alignment vertical="center"/>
    </xf>
    <xf numFmtId="0" fontId="30" fillId="0" borderId="37" xfId="0" applyFont="1" applyBorder="1" applyAlignment="1">
      <alignment horizontal="center" vertical="center"/>
    </xf>
    <xf numFmtId="0" fontId="30" fillId="0" borderId="37" xfId="0" applyFont="1" applyBorder="1" applyAlignment="1">
      <alignment vertical="center" wrapText="1"/>
    </xf>
    <xf numFmtId="10" fontId="30" fillId="0" borderId="37" xfId="8" applyNumberFormat="1" applyFont="1" applyBorder="1">
      <alignment vertical="center"/>
    </xf>
    <xf numFmtId="181" fontId="30" fillId="0" borderId="37" xfId="7" applyNumberFormat="1" applyFont="1" applyBorder="1">
      <alignment vertical="center"/>
    </xf>
    <xf numFmtId="0" fontId="30" fillId="0" borderId="37" xfId="0" applyFont="1" applyBorder="1">
      <alignment vertical="center"/>
    </xf>
    <xf numFmtId="10" fontId="30" fillId="0" borderId="37" xfId="0" applyNumberFormat="1" applyFont="1" applyBorder="1">
      <alignment vertical="center"/>
    </xf>
    <xf numFmtId="0" fontId="37" fillId="0" borderId="37" xfId="0" applyFont="1" applyBorder="1">
      <alignment vertical="center"/>
    </xf>
    <xf numFmtId="0" fontId="30" fillId="0" borderId="37" xfId="0" applyFont="1" applyBorder="1" applyAlignment="1">
      <alignment horizontal="center" vertical="center" wrapText="1"/>
    </xf>
    <xf numFmtId="0" fontId="31" fillId="4" borderId="37" xfId="0" applyFont="1" applyFill="1" applyBorder="1" applyAlignment="1">
      <alignment horizontal="center" vertical="center"/>
    </xf>
    <xf numFmtId="10" fontId="31" fillId="5" borderId="37" xfId="0" applyNumberFormat="1" applyFont="1" applyFill="1" applyBorder="1">
      <alignment vertical="center"/>
    </xf>
    <xf numFmtId="181" fontId="31" fillId="5" borderId="37" xfId="0" applyNumberFormat="1" applyFont="1" applyFill="1" applyBorder="1">
      <alignment vertical="center"/>
    </xf>
    <xf numFmtId="0" fontId="31" fillId="5" borderId="37" xfId="0" applyFont="1" applyFill="1" applyBorder="1">
      <alignment vertical="center"/>
    </xf>
    <xf numFmtId="10" fontId="31" fillId="2" borderId="37" xfId="8" applyNumberFormat="1" applyFont="1" applyFill="1" applyBorder="1">
      <alignment vertical="center"/>
    </xf>
    <xf numFmtId="181" fontId="31" fillId="2" borderId="37" xfId="7" applyNumberFormat="1" applyFont="1" applyFill="1" applyBorder="1">
      <alignment vertical="center"/>
    </xf>
    <xf numFmtId="0" fontId="31" fillId="2" borderId="37" xfId="0" applyFont="1" applyFill="1" applyBorder="1">
      <alignment vertical="center"/>
    </xf>
    <xf numFmtId="10" fontId="31" fillId="4" borderId="37" xfId="8" applyNumberFormat="1" applyFont="1" applyFill="1" applyBorder="1">
      <alignment vertical="center"/>
    </xf>
    <xf numFmtId="181" fontId="31" fillId="4" borderId="37" xfId="7" applyNumberFormat="1" applyFont="1" applyFill="1" applyBorder="1">
      <alignment vertical="center"/>
    </xf>
    <xf numFmtId="0" fontId="31" fillId="4" borderId="37" xfId="0" applyFont="1" applyFill="1" applyBorder="1">
      <alignment vertical="center"/>
    </xf>
    <xf numFmtId="0" fontId="30" fillId="0" borderId="0" xfId="0" applyFont="1" applyAlignment="1">
      <alignment vertical="center" wrapText="1"/>
    </xf>
    <xf numFmtId="0" fontId="36" fillId="0" borderId="37" xfId="0" applyFont="1" applyBorder="1" applyAlignment="1">
      <alignment vertical="center" wrapText="1"/>
    </xf>
    <xf numFmtId="181" fontId="30" fillId="0" borderId="37" xfId="0" applyNumberFormat="1" applyFont="1" applyBorder="1">
      <alignment vertical="center"/>
    </xf>
    <xf numFmtId="0" fontId="0" fillId="0" borderId="37" xfId="0" applyBorder="1">
      <alignment vertical="center"/>
    </xf>
    <xf numFmtId="0" fontId="30" fillId="6" borderId="37" xfId="0" applyFont="1" applyFill="1" applyBorder="1" applyAlignment="1">
      <alignment horizontal="center" vertical="center"/>
    </xf>
    <xf numFmtId="9" fontId="30" fillId="0" borderId="37" xfId="0" applyNumberFormat="1" applyFont="1" applyBorder="1" applyAlignment="1">
      <alignment horizontal="center" vertical="center"/>
    </xf>
    <xf numFmtId="9" fontId="30" fillId="0" borderId="37" xfId="8" applyFont="1" applyBorder="1" applyAlignment="1">
      <alignment horizontal="center" vertical="center"/>
    </xf>
    <xf numFmtId="43" fontId="30" fillId="0" borderId="37" xfId="0" applyNumberFormat="1" applyFont="1" applyBorder="1">
      <alignment vertical="center"/>
    </xf>
    <xf numFmtId="43" fontId="30" fillId="0" borderId="37" xfId="7" applyFont="1" applyBorder="1">
      <alignment vertical="center"/>
    </xf>
    <xf numFmtId="0" fontId="30" fillId="0" borderId="40" xfId="0" applyFont="1" applyBorder="1" applyAlignment="1">
      <alignment horizontal="center" vertical="center"/>
    </xf>
    <xf numFmtId="43" fontId="15" fillId="0" borderId="37" xfId="7" applyFont="1" applyBorder="1">
      <alignment vertical="center"/>
    </xf>
    <xf numFmtId="0" fontId="15" fillId="0" borderId="37" xfId="0" applyFont="1" applyBorder="1" applyAlignment="1">
      <alignment horizontal="center" vertical="center"/>
    </xf>
    <xf numFmtId="9" fontId="15" fillId="0" borderId="37" xfId="0" applyNumberFormat="1" applyFont="1" applyBorder="1">
      <alignment vertical="center"/>
    </xf>
    <xf numFmtId="10" fontId="30" fillId="7" borderId="37" xfId="0" applyNumberFormat="1" applyFont="1" applyFill="1" applyBorder="1">
      <alignment vertical="center"/>
    </xf>
    <xf numFmtId="181" fontId="30" fillId="7" borderId="37" xfId="7" applyNumberFormat="1" applyFont="1" applyFill="1" applyBorder="1">
      <alignment vertical="center"/>
    </xf>
    <xf numFmtId="0" fontId="31" fillId="4" borderId="37" xfId="0" applyFont="1" applyFill="1" applyBorder="1" applyAlignment="1">
      <alignment horizontal="center" vertical="center"/>
    </xf>
    <xf numFmtId="0" fontId="30" fillId="0" borderId="37" xfId="0" applyFont="1" applyBorder="1" applyAlignment="1">
      <alignment horizontal="center" vertical="center"/>
    </xf>
    <xf numFmtId="0" fontId="30" fillId="0" borderId="41" xfId="0" applyFont="1" applyBorder="1" applyAlignment="1">
      <alignment horizontal="center" vertical="center"/>
    </xf>
    <xf numFmtId="0" fontId="30" fillId="7" borderId="42" xfId="0" applyFont="1" applyFill="1" applyBorder="1" applyAlignment="1">
      <alignment horizontal="left" vertical="center" wrapText="1"/>
    </xf>
    <xf numFmtId="0" fontId="30" fillId="7" borderId="43" xfId="0" applyFont="1" applyFill="1" applyBorder="1" applyAlignment="1">
      <alignment horizontal="left" vertical="center" wrapText="1"/>
    </xf>
    <xf numFmtId="0" fontId="30" fillId="0" borderId="42" xfId="0" applyFont="1" applyBorder="1" applyAlignment="1">
      <alignment horizontal="center" vertical="center"/>
    </xf>
    <xf numFmtId="0" fontId="30" fillId="0" borderId="44" xfId="0" applyFont="1" applyBorder="1" applyAlignment="1">
      <alignment horizontal="center" vertical="center"/>
    </xf>
    <xf numFmtId="0" fontId="30" fillId="0" borderId="43" xfId="0" applyFont="1" applyBorder="1" applyAlignment="1">
      <alignment horizontal="center" vertical="center"/>
    </xf>
    <xf numFmtId="0" fontId="30" fillId="0" borderId="39"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38" xfId="0" applyFont="1" applyBorder="1" applyAlignment="1">
      <alignment horizontal="center" vertical="center" wrapText="1"/>
    </xf>
    <xf numFmtId="0" fontId="30" fillId="2" borderId="39" xfId="0" applyFont="1" applyFill="1" applyBorder="1" applyAlignment="1">
      <alignment horizontal="center" vertical="center" wrapText="1"/>
    </xf>
    <xf numFmtId="0" fontId="30" fillId="2" borderId="40" xfId="0" applyFont="1" applyFill="1" applyBorder="1" applyAlignment="1">
      <alignment horizontal="center" vertical="center" wrapText="1"/>
    </xf>
    <xf numFmtId="0" fontId="31" fillId="2" borderId="42" xfId="0" applyFont="1" applyFill="1" applyBorder="1" applyAlignment="1">
      <alignment horizontal="center" vertical="center" wrapText="1"/>
    </xf>
    <xf numFmtId="0" fontId="31" fillId="2" borderId="44" xfId="0" applyFont="1" applyFill="1" applyBorder="1" applyAlignment="1">
      <alignment horizontal="center" vertical="center" wrapText="1"/>
    </xf>
    <xf numFmtId="0" fontId="31" fillId="2" borderId="43" xfId="0" applyFont="1" applyFill="1" applyBorder="1" applyAlignment="1">
      <alignment horizontal="center" vertical="center" wrapText="1"/>
    </xf>
    <xf numFmtId="0" fontId="31" fillId="4" borderId="42" xfId="0" applyFont="1" applyFill="1" applyBorder="1" applyAlignment="1">
      <alignment horizontal="center" vertical="center" wrapText="1"/>
    </xf>
    <xf numFmtId="0" fontId="31" fillId="4" borderId="44" xfId="0" applyFont="1" applyFill="1" applyBorder="1" applyAlignment="1">
      <alignment horizontal="center" vertical="center" wrapText="1"/>
    </xf>
    <xf numFmtId="0" fontId="31" fillId="4" borderId="43" xfId="0" applyFont="1" applyFill="1" applyBorder="1" applyAlignment="1">
      <alignment horizontal="center" vertical="center" wrapText="1"/>
    </xf>
    <xf numFmtId="0" fontId="30" fillId="0" borderId="42"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3" xfId="0" applyFont="1" applyBorder="1" applyAlignment="1">
      <alignment horizontal="center" vertical="center" wrapText="1"/>
    </xf>
    <xf numFmtId="0" fontId="31" fillId="4" borderId="37" xfId="0" applyFont="1" applyFill="1" applyBorder="1" applyAlignment="1">
      <alignment horizontal="center" vertical="center" wrapText="1"/>
    </xf>
    <xf numFmtId="0" fontId="30" fillId="5" borderId="39" xfId="0" applyFont="1" applyFill="1" applyBorder="1" applyAlignment="1">
      <alignment horizontal="center" vertical="center" wrapText="1"/>
    </xf>
    <xf numFmtId="0" fontId="30" fillId="5" borderId="40" xfId="0" applyFont="1" applyFill="1" applyBorder="1" applyAlignment="1">
      <alignment horizontal="center" vertical="center" wrapText="1"/>
    </xf>
    <xf numFmtId="0" fontId="30" fillId="5" borderId="38" xfId="0" applyFont="1" applyFill="1" applyBorder="1" applyAlignment="1">
      <alignment horizontal="center" vertical="center" wrapText="1"/>
    </xf>
    <xf numFmtId="0" fontId="31" fillId="5" borderId="42" xfId="0" applyFont="1" applyFill="1" applyBorder="1" applyAlignment="1">
      <alignment horizontal="center" vertical="center"/>
    </xf>
    <xf numFmtId="0" fontId="31" fillId="5" borderId="44" xfId="0" applyFont="1" applyFill="1" applyBorder="1" applyAlignment="1">
      <alignment horizontal="center" vertical="center"/>
    </xf>
    <xf numFmtId="0" fontId="31" fillId="5" borderId="43" xfId="0" applyFont="1" applyFill="1" applyBorder="1" applyAlignment="1">
      <alignment horizontal="center" vertical="center"/>
    </xf>
    <xf numFmtId="0" fontId="31" fillId="4" borderId="45" xfId="0" applyFont="1" applyFill="1" applyBorder="1" applyAlignment="1">
      <alignment horizontal="center" vertical="center"/>
    </xf>
    <xf numFmtId="0" fontId="31" fillId="4" borderId="46" xfId="0" applyFont="1" applyFill="1" applyBorder="1" applyAlignment="1">
      <alignment horizontal="center" vertical="center"/>
    </xf>
    <xf numFmtId="0" fontId="31" fillId="4" borderId="47" xfId="0" applyFont="1" applyFill="1" applyBorder="1" applyAlignment="1">
      <alignment horizontal="center" vertical="center"/>
    </xf>
    <xf numFmtId="0" fontId="31" fillId="4" borderId="48" xfId="0" applyFont="1" applyFill="1" applyBorder="1" applyAlignment="1">
      <alignment horizontal="center" vertical="center"/>
    </xf>
    <xf numFmtId="0" fontId="30" fillId="7" borderId="45" xfId="0" applyFont="1" applyFill="1" applyBorder="1" applyAlignment="1">
      <alignment horizontal="center" vertical="center" wrapText="1"/>
    </xf>
    <xf numFmtId="0" fontId="30" fillId="7" borderId="46" xfId="0" applyFont="1" applyFill="1" applyBorder="1" applyAlignment="1">
      <alignment horizontal="center" vertical="center" wrapText="1"/>
    </xf>
    <xf numFmtId="0" fontId="30" fillId="7" borderId="41" xfId="0" applyFont="1" applyFill="1" applyBorder="1" applyAlignment="1">
      <alignment horizontal="center" vertical="center" wrapText="1"/>
    </xf>
    <xf numFmtId="0" fontId="30" fillId="7" borderId="49" xfId="0" applyFont="1" applyFill="1" applyBorder="1" applyAlignment="1">
      <alignment horizontal="center" vertical="center" wrapText="1"/>
    </xf>
    <xf numFmtId="0" fontId="30" fillId="7" borderId="47" xfId="0" applyFont="1" applyFill="1" applyBorder="1" applyAlignment="1">
      <alignment horizontal="center" vertical="center" wrapText="1"/>
    </xf>
    <xf numFmtId="0" fontId="30" fillId="7" borderId="48" xfId="0" applyFont="1" applyFill="1" applyBorder="1" applyAlignment="1">
      <alignment horizontal="center" vertical="center" wrapText="1"/>
    </xf>
    <xf numFmtId="0" fontId="30" fillId="7" borderId="42" xfId="0" applyFont="1" applyFill="1" applyBorder="1" applyAlignment="1">
      <alignment horizontal="center" vertical="center"/>
    </xf>
    <xf numFmtId="0" fontId="30" fillId="7" borderId="43" xfId="0" applyFont="1" applyFill="1" applyBorder="1" applyAlignment="1">
      <alignment horizontal="center" vertical="center"/>
    </xf>
    <xf numFmtId="1" fontId="13" fillId="3" borderId="28" xfId="1" applyFont="1" applyFill="1" applyBorder="1" applyAlignment="1">
      <alignment horizontal="right" vertical="center"/>
    </xf>
    <xf numFmtId="1" fontId="13" fillId="3" borderId="4" xfId="1" applyFont="1" applyFill="1" applyBorder="1" applyAlignment="1">
      <alignment horizontal="right" vertical="center"/>
    </xf>
    <xf numFmtId="2" fontId="5" fillId="3" borderId="9" xfId="1" applyNumberFormat="1" applyFont="1" applyFill="1" applyBorder="1" applyAlignment="1">
      <alignment horizontal="right" vertical="center"/>
    </xf>
    <xf numFmtId="2" fontId="5" fillId="3" borderId="31" xfId="1" applyNumberFormat="1" applyFont="1" applyFill="1" applyBorder="1" applyAlignment="1">
      <alignment horizontal="right" vertical="center"/>
    </xf>
    <xf numFmtId="2" fontId="5" fillId="3" borderId="7" xfId="1" applyNumberFormat="1" applyFont="1" applyFill="1" applyBorder="1" applyAlignment="1">
      <alignment horizontal="right" vertical="center"/>
    </xf>
    <xf numFmtId="219" fontId="13" fillId="0" borderId="33" xfId="1" applyNumberFormat="1" applyFont="1" applyBorder="1" applyAlignment="1">
      <alignment horizontal="center" vertical="center"/>
    </xf>
    <xf numFmtId="219" fontId="13" fillId="0" borderId="12" xfId="1" applyNumberFormat="1" applyFont="1" applyBorder="1" applyAlignment="1">
      <alignment horizontal="center" vertical="center"/>
    </xf>
    <xf numFmtId="1" fontId="13" fillId="0" borderId="32" xfId="1" applyFont="1" applyBorder="1" applyAlignment="1">
      <alignment horizontal="right" vertical="center"/>
    </xf>
    <xf numFmtId="1" fontId="13" fillId="0" borderId="13" xfId="1" applyFont="1" applyBorder="1" applyAlignment="1">
      <alignment horizontal="right" vertical="center"/>
    </xf>
    <xf numFmtId="2" fontId="5" fillId="0" borderId="33" xfId="1" applyNumberFormat="1" applyFont="1" applyBorder="1" applyAlignment="1">
      <alignment horizontal="right" vertical="center"/>
    </xf>
    <xf numFmtId="2" fontId="5" fillId="0" borderId="34" xfId="1" applyNumberFormat="1" applyFont="1" applyBorder="1" applyAlignment="1">
      <alignment horizontal="right" vertical="center"/>
    </xf>
    <xf numFmtId="2" fontId="5" fillId="0" borderId="12" xfId="1" applyNumberFormat="1" applyFont="1" applyBorder="1" applyAlignment="1">
      <alignment horizontal="right" vertical="center"/>
    </xf>
    <xf numFmtId="1" fontId="5" fillId="0" borderId="35" xfId="1" applyFont="1" applyBorder="1" applyAlignment="1">
      <alignment horizontal="center" vertical="center" textRotation="255"/>
    </xf>
    <xf numFmtId="1" fontId="5" fillId="0" borderId="6" xfId="1" applyFont="1" applyBorder="1" applyAlignment="1">
      <alignment horizontal="center" vertical="center" textRotation="255"/>
    </xf>
    <xf numFmtId="1" fontId="5" fillId="0" borderId="11" xfId="1" applyFont="1" applyBorder="1" applyAlignment="1">
      <alignment horizontal="center" vertical="center" textRotation="255"/>
    </xf>
    <xf numFmtId="1" fontId="5" fillId="0" borderId="36" xfId="1" applyFont="1" applyBorder="1" applyAlignment="1">
      <alignment horizontal="center" vertical="center"/>
    </xf>
    <xf numFmtId="1" fontId="5" fillId="0" borderId="3" xfId="1" applyFont="1" applyBorder="1" applyAlignment="1">
      <alignment horizontal="center" vertical="center"/>
    </xf>
    <xf numFmtId="1" fontId="5" fillId="0" borderId="9" xfId="1" applyFont="1" applyBorder="1" applyAlignment="1">
      <alignment horizontal="center" vertical="center"/>
    </xf>
    <xf numFmtId="1" fontId="5" fillId="0" borderId="7" xfId="1" applyFont="1" applyBorder="1" applyAlignment="1">
      <alignment horizontal="center" vertical="center"/>
    </xf>
    <xf numFmtId="216" fontId="13" fillId="0" borderId="4" xfId="1" applyNumberFormat="1" applyFont="1" applyBorder="1" applyAlignment="1">
      <alignment horizontal="right" vertical="center"/>
    </xf>
    <xf numFmtId="217" fontId="5" fillId="0" borderId="9" xfId="1" applyNumberFormat="1" applyFont="1" applyBorder="1" applyAlignment="1">
      <alignment horizontal="center" vertical="center"/>
    </xf>
    <xf numFmtId="217" fontId="5" fillId="0" borderId="31" xfId="1" applyNumberFormat="1" applyFont="1" applyBorder="1" applyAlignment="1">
      <alignment horizontal="center" vertical="center"/>
    </xf>
    <xf numFmtId="217" fontId="5" fillId="0" borderId="7" xfId="1" applyNumberFormat="1" applyFont="1" applyBorder="1" applyAlignment="1">
      <alignment horizontal="center" vertical="center"/>
    </xf>
    <xf numFmtId="218" fontId="5" fillId="0" borderId="9" xfId="1" applyNumberFormat="1" applyFont="1" applyBorder="1" applyAlignment="1">
      <alignment horizontal="center" vertical="center"/>
    </xf>
    <xf numFmtId="218" fontId="5" fillId="0" borderId="31" xfId="1" applyNumberFormat="1" applyFont="1" applyBorder="1" applyAlignment="1">
      <alignment horizontal="center" vertical="center"/>
    </xf>
    <xf numFmtId="218" fontId="5" fillId="0" borderId="7" xfId="1" applyNumberFormat="1" applyFont="1" applyBorder="1" applyAlignment="1">
      <alignment horizontal="center" vertical="center"/>
    </xf>
    <xf numFmtId="218" fontId="20" fillId="3" borderId="9" xfId="1" applyNumberFormat="1" applyFont="1" applyFill="1" applyBorder="1" applyAlignment="1">
      <alignment horizontal="center" vertical="center"/>
    </xf>
    <xf numFmtId="218" fontId="20" fillId="3" borderId="31" xfId="1" applyNumberFormat="1" applyFont="1" applyFill="1" applyBorder="1" applyAlignment="1">
      <alignment horizontal="center" vertical="center"/>
    </xf>
    <xf numFmtId="218" fontId="20" fillId="3" borderId="7" xfId="1" applyNumberFormat="1" applyFont="1" applyFill="1" applyBorder="1" applyAlignment="1">
      <alignment horizontal="center" vertical="center"/>
    </xf>
    <xf numFmtId="218" fontId="13" fillId="0" borderId="33" xfId="1" applyNumberFormat="1" applyFont="1" applyBorder="1" applyAlignment="1">
      <alignment horizontal="center" vertical="center"/>
    </xf>
    <xf numFmtId="218" fontId="13" fillId="0" borderId="12" xfId="1" applyNumberFormat="1" applyFont="1" applyBorder="1" applyAlignment="1">
      <alignment horizontal="center" vertical="center"/>
    </xf>
    <xf numFmtId="1" fontId="5" fillId="0" borderId="4" xfId="1" applyFont="1" applyBorder="1" applyAlignment="1">
      <alignment vertical="center"/>
    </xf>
    <xf numFmtId="1" fontId="13" fillId="0" borderId="28" xfId="1" applyFont="1" applyBorder="1" applyAlignment="1">
      <alignment horizontal="right" vertical="center"/>
    </xf>
    <xf numFmtId="1" fontId="13" fillId="0" borderId="4" xfId="1" applyFont="1" applyBorder="1" applyAlignment="1">
      <alignment horizontal="right" vertical="center"/>
    </xf>
    <xf numFmtId="210" fontId="25" fillId="0" borderId="4" xfId="1" applyNumberFormat="1" applyFont="1" applyBorder="1" applyAlignment="1">
      <alignment vertical="center"/>
    </xf>
    <xf numFmtId="10" fontId="5" fillId="0" borderId="4" xfId="5" applyNumberFormat="1" applyFont="1" applyBorder="1" applyAlignment="1">
      <alignment vertical="center"/>
    </xf>
    <xf numFmtId="205" fontId="5" fillId="0" borderId="4" xfId="1" applyNumberFormat="1" applyFont="1" applyBorder="1" applyAlignment="1">
      <alignment vertical="center"/>
    </xf>
    <xf numFmtId="206" fontId="5" fillId="0" borderId="4" xfId="1" applyNumberFormat="1" applyFont="1" applyBorder="1" applyAlignment="1">
      <alignment vertical="center"/>
    </xf>
    <xf numFmtId="194" fontId="13" fillId="0" borderId="4" xfId="5" applyNumberFormat="1" applyFont="1" applyBorder="1" applyAlignment="1">
      <alignment vertical="center"/>
    </xf>
    <xf numFmtId="1" fontId="5" fillId="0" borderId="4" xfId="1" applyFont="1" applyBorder="1" applyAlignment="1">
      <alignment horizontal="center" vertical="center"/>
    </xf>
    <xf numFmtId="1" fontId="5" fillId="0" borderId="13" xfId="1" applyFont="1" applyBorder="1" applyAlignment="1">
      <alignment horizontal="center" vertical="center"/>
    </xf>
    <xf numFmtId="1" fontId="5" fillId="0" borderId="30" xfId="1" applyFont="1" applyBorder="1" applyAlignment="1">
      <alignment horizontal="right" vertical="center"/>
    </xf>
    <xf numFmtId="1" fontId="5" fillId="0" borderId="29" xfId="1" applyFont="1" applyBorder="1" applyAlignment="1">
      <alignment horizontal="right" vertical="center"/>
    </xf>
    <xf numFmtId="1" fontId="5" fillId="0" borderId="29" xfId="1" applyFont="1" applyBorder="1" applyAlignment="1">
      <alignment vertical="center"/>
    </xf>
    <xf numFmtId="1" fontId="5" fillId="0" borderId="28" xfId="1" applyFont="1" applyBorder="1" applyAlignment="1">
      <alignment horizontal="right" vertical="center"/>
    </xf>
    <xf numFmtId="1" fontId="5" fillId="0" borderId="4" xfId="1" applyFont="1" applyBorder="1" applyAlignment="1">
      <alignment horizontal="right" vertical="center"/>
    </xf>
    <xf numFmtId="1" fontId="13" fillId="0" borderId="2" xfId="1" applyFont="1" applyBorder="1" applyAlignment="1">
      <alignment horizontal="center" vertical="center" textRotation="255"/>
    </xf>
    <xf numFmtId="1" fontId="13" fillId="0" borderId="6" xfId="1" applyFont="1" applyBorder="1" applyAlignment="1">
      <alignment horizontal="center" vertical="center" textRotation="255"/>
    </xf>
    <xf numFmtId="1" fontId="13" fillId="0" borderId="11" xfId="1" applyFont="1" applyBorder="1" applyAlignment="1">
      <alignment horizontal="center" vertical="center" textRotation="255"/>
    </xf>
    <xf numFmtId="9" fontId="5" fillId="0" borderId="29" xfId="5" applyFont="1" applyBorder="1" applyAlignment="1">
      <alignment vertical="center"/>
    </xf>
    <xf numFmtId="195" fontId="5" fillId="0" borderId="4" xfId="5" applyNumberFormat="1" applyFont="1" applyBorder="1" applyAlignment="1">
      <alignment vertical="center"/>
    </xf>
    <xf numFmtId="196" fontId="5" fillId="0" borderId="13" xfId="1" applyNumberFormat="1" applyFont="1" applyBorder="1" applyAlignment="1">
      <alignment vertical="center"/>
    </xf>
    <xf numFmtId="200" fontId="5" fillId="0" borderId="29" xfId="1" applyNumberFormat="1" applyFont="1" applyBorder="1" applyAlignment="1">
      <alignment vertical="center"/>
    </xf>
    <xf numFmtId="200" fontId="5" fillId="0" borderId="4" xfId="1" applyNumberFormat="1" applyFont="1" applyBorder="1" applyAlignment="1">
      <alignment vertical="center"/>
    </xf>
    <xf numFmtId="203" fontId="17" fillId="0" borderId="4" xfId="1" applyNumberFormat="1" applyFont="1" applyBorder="1" applyAlignment="1">
      <alignment vertical="center"/>
    </xf>
    <xf numFmtId="204" fontId="5" fillId="0" borderId="4" xfId="1" applyNumberFormat="1" applyFont="1" applyBorder="1" applyAlignment="1">
      <alignment vertical="center"/>
    </xf>
    <xf numFmtId="204" fontId="5" fillId="0" borderId="9" xfId="1" applyNumberFormat="1" applyFont="1" applyBorder="1" applyAlignment="1">
      <alignment vertical="center"/>
    </xf>
    <xf numFmtId="1" fontId="5" fillId="0" borderId="7" xfId="1" applyFont="1" applyBorder="1" applyAlignment="1">
      <alignment vertical="center"/>
    </xf>
    <xf numFmtId="1" fontId="5" fillId="0" borderId="15" xfId="1" applyFont="1" applyBorder="1" applyAlignment="1">
      <alignment horizontal="center" vertical="center"/>
    </xf>
    <xf numFmtId="1" fontId="5" fillId="0" borderId="16" xfId="1" applyFont="1" applyBorder="1" applyAlignment="1">
      <alignment horizontal="center" vertical="center"/>
    </xf>
    <xf numFmtId="1" fontId="5" fillId="0" borderId="18" xfId="1" applyFont="1" applyBorder="1" applyAlignment="1">
      <alignment horizontal="center" vertical="center"/>
    </xf>
    <xf numFmtId="181" fontId="20" fillId="0" borderId="0" xfId="1" applyNumberFormat="1" applyFont="1" applyAlignment="1">
      <alignment vertical="center"/>
    </xf>
    <xf numFmtId="192" fontId="13" fillId="0" borderId="13" xfId="5" applyNumberFormat="1" applyFont="1" applyBorder="1" applyAlignment="1">
      <alignment vertical="center"/>
    </xf>
    <xf numFmtId="1" fontId="13" fillId="0" borderId="27" xfId="1" applyFont="1" applyBorder="1" applyAlignment="1">
      <alignment horizontal="center" vertical="center" textRotation="255"/>
    </xf>
    <xf numFmtId="9" fontId="5" fillId="0" borderId="26" xfId="5" applyFont="1" applyFill="1" applyBorder="1" applyAlignment="1">
      <alignment vertical="center"/>
    </xf>
    <xf numFmtId="10" fontId="19" fillId="2" borderId="22" xfId="5" applyNumberFormat="1" applyFont="1" applyFill="1" applyBorder="1" applyAlignment="1">
      <alignment vertical="center"/>
    </xf>
    <xf numFmtId="10" fontId="19" fillId="2" borderId="4" xfId="5" applyNumberFormat="1" applyFont="1" applyFill="1" applyBorder="1" applyAlignment="1">
      <alignment vertical="center"/>
    </xf>
    <xf numFmtId="10" fontId="13" fillId="0" borderId="13" xfId="5" applyNumberFormat="1" applyFont="1" applyFill="1" applyBorder="1" applyAlignment="1">
      <alignment vertical="center"/>
    </xf>
    <xf numFmtId="1" fontId="13" fillId="0" borderId="20" xfId="1" applyFont="1" applyBorder="1" applyAlignment="1">
      <alignment horizontal="center" vertical="center" textRotation="255"/>
    </xf>
    <xf numFmtId="1" fontId="13" fillId="0" borderId="24" xfId="1" applyFont="1" applyBorder="1" applyAlignment="1">
      <alignment horizontal="center" vertical="center" textRotation="255"/>
    </xf>
    <xf numFmtId="1" fontId="5" fillId="0" borderId="22" xfId="1" applyFont="1" applyBorder="1" applyAlignment="1">
      <alignment vertical="center"/>
    </xf>
    <xf numFmtId="191" fontId="5" fillId="0" borderId="4" xfId="5" applyNumberFormat="1" applyFont="1" applyBorder="1" applyAlignment="1">
      <alignment vertical="center"/>
    </xf>
    <xf numFmtId="1" fontId="3" fillId="0" borderId="0" xfId="1" applyFont="1" applyAlignment="1">
      <alignment horizontal="center" vertical="center"/>
    </xf>
    <xf numFmtId="1" fontId="7" fillId="0" borderId="1" xfId="1" applyFont="1" applyBorder="1" applyAlignment="1">
      <alignment vertical="center" wrapText="1"/>
    </xf>
    <xf numFmtId="1" fontId="26" fillId="0" borderId="1" xfId="1" applyFont="1" applyBorder="1" applyAlignment="1">
      <alignment vertical="center"/>
    </xf>
    <xf numFmtId="181" fontId="5" fillId="0" borderId="4" xfId="1" applyNumberFormat="1" applyFont="1" applyBorder="1" applyAlignment="1">
      <alignment vertical="center"/>
    </xf>
    <xf numFmtId="182" fontId="19" fillId="2" borderId="4" xfId="1" applyNumberFormat="1" applyFont="1" applyFill="1" applyBorder="1" applyAlignment="1">
      <alignment horizontal="center" vertical="center"/>
    </xf>
    <xf numFmtId="177" fontId="5" fillId="0" borderId="4" xfId="1" applyNumberFormat="1" applyFont="1" applyBorder="1" applyAlignment="1">
      <alignment horizontal="center" vertical="center"/>
    </xf>
    <xf numFmtId="183" fontId="5" fillId="0" borderId="4" xfId="1" applyNumberFormat="1" applyFont="1" applyBorder="1" applyAlignment="1">
      <alignment horizontal="center" vertical="center"/>
    </xf>
    <xf numFmtId="184" fontId="13" fillId="0" borderId="4" xfId="1" applyNumberFormat="1" applyFont="1" applyBorder="1" applyAlignment="1">
      <alignment horizontal="center" vertical="center"/>
    </xf>
    <xf numFmtId="188" fontId="18" fillId="2" borderId="4" xfId="1" applyNumberFormat="1" applyFont="1" applyFill="1" applyBorder="1" applyAlignment="1">
      <alignment vertical="center"/>
    </xf>
    <xf numFmtId="189" fontId="19" fillId="3" borderId="4" xfId="1" applyNumberFormat="1" applyFont="1" applyFill="1" applyBorder="1" applyAlignment="1">
      <alignment horizontal="center" vertical="center"/>
    </xf>
    <xf numFmtId="1" fontId="14" fillId="3" borderId="9" xfId="1" applyFont="1" applyFill="1" applyBorder="1" applyAlignment="1">
      <alignment horizontal="left" vertical="center"/>
    </xf>
    <xf numFmtId="1" fontId="14" fillId="3" borderId="7" xfId="1" applyFont="1" applyFill="1" applyBorder="1" applyAlignment="1">
      <alignment horizontal="left" vertical="center"/>
    </xf>
    <xf numFmtId="1" fontId="5" fillId="0" borderId="13" xfId="1" applyFont="1" applyBorder="1" applyAlignment="1">
      <alignment horizontal="right" vertical="center"/>
    </xf>
    <xf numFmtId="216" fontId="17" fillId="0" borderId="4" xfId="1" applyNumberFormat="1" applyFont="1" applyBorder="1" applyAlignment="1">
      <alignment horizontal="right" vertical="center"/>
    </xf>
    <xf numFmtId="206" fontId="22" fillId="0" borderId="4" xfId="1" applyNumberFormat="1" applyFont="1" applyBorder="1" applyAlignment="1">
      <alignment vertical="center"/>
    </xf>
    <xf numFmtId="194" fontId="17" fillId="0" borderId="4" xfId="5" applyNumberFormat="1" applyFont="1" applyBorder="1" applyAlignment="1">
      <alignment vertical="center"/>
    </xf>
    <xf numFmtId="1" fontId="2" fillId="0" borderId="7" xfId="1" applyBorder="1" applyAlignment="1">
      <alignment vertical="center"/>
    </xf>
    <xf numFmtId="192" fontId="13" fillId="0" borderId="13" xfId="5" applyNumberFormat="1" applyFont="1" applyFill="1" applyBorder="1" applyAlignment="1">
      <alignment vertical="center"/>
    </xf>
    <xf numFmtId="1" fontId="5" fillId="0" borderId="26" xfId="1" applyFont="1" applyBorder="1" applyAlignment="1">
      <alignment vertical="center"/>
    </xf>
    <xf numFmtId="191" fontId="5" fillId="0" borderId="4" xfId="5" applyNumberFormat="1" applyFont="1" applyFill="1" applyBorder="1" applyAlignment="1">
      <alignment vertical="center"/>
    </xf>
    <xf numFmtId="1" fontId="8" fillId="0" borderId="1" xfId="1" applyFont="1" applyBorder="1" applyAlignment="1">
      <alignment vertical="center"/>
    </xf>
    <xf numFmtId="189" fontId="14" fillId="3" borderId="4" xfId="1" applyNumberFormat="1" applyFont="1" applyFill="1" applyBorder="1" applyAlignment="1">
      <alignment horizontal="center" vertical="center"/>
    </xf>
  </cellXfs>
  <cellStyles count="9">
    <cellStyle name="一般" xfId="0" builtinId="0"/>
    <cellStyle name="一般 2" xfId="1" xr:uid="{78F134C4-B4AA-4AF4-A460-24536324CB54}"/>
    <cellStyle name="一般 4" xfId="6" xr:uid="{9DF5722C-BFA8-41AF-BB92-95C533165E57}"/>
    <cellStyle name="一般_量體分析表test" xfId="4" xr:uid="{4EE6F488-7375-4498-91A3-D87B33491685}"/>
    <cellStyle name="千分位" xfId="7" builtinId="3"/>
    <cellStyle name="千分位 2" xfId="2" xr:uid="{E08891D8-05B9-49AA-95EA-4DD287237F74}"/>
    <cellStyle name="千分位 2 2" xfId="3" xr:uid="{03C9CD4E-F138-4E06-8202-9B06235AD902}"/>
    <cellStyle name="百分比" xfId="8" builtinId="5"/>
    <cellStyle name="百分比 2" xfId="5" xr:uid="{440A2561-D233-41B9-9FB8-43E31AC3B6FF}"/>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63" Type="http://schemas.openxmlformats.org/officeDocument/2006/relationships/externalLink" Target="externalLinks/externalLink59.xml"/><Relationship Id="rId68" Type="http://schemas.openxmlformats.org/officeDocument/2006/relationships/externalLink" Target="externalLinks/externalLink64.xml"/><Relationship Id="rId76" Type="http://schemas.openxmlformats.org/officeDocument/2006/relationships/externalLink" Target="externalLinks/externalLink72.xml"/><Relationship Id="rId84" Type="http://schemas.openxmlformats.org/officeDocument/2006/relationships/sharedStrings" Target="sharedStrings.xml"/><Relationship Id="rId7" Type="http://schemas.openxmlformats.org/officeDocument/2006/relationships/externalLink" Target="externalLinks/externalLink3.xml"/><Relationship Id="rId71" Type="http://schemas.openxmlformats.org/officeDocument/2006/relationships/externalLink" Target="externalLinks/externalLink67.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66" Type="http://schemas.openxmlformats.org/officeDocument/2006/relationships/externalLink" Target="externalLinks/externalLink62.xml"/><Relationship Id="rId74" Type="http://schemas.openxmlformats.org/officeDocument/2006/relationships/externalLink" Target="externalLinks/externalLink70.xml"/><Relationship Id="rId79" Type="http://schemas.openxmlformats.org/officeDocument/2006/relationships/externalLink" Target="externalLinks/externalLink75.xml"/><Relationship Id="rId5" Type="http://schemas.openxmlformats.org/officeDocument/2006/relationships/externalLink" Target="externalLinks/externalLink1.xml"/><Relationship Id="rId61" Type="http://schemas.openxmlformats.org/officeDocument/2006/relationships/externalLink" Target="externalLinks/externalLink57.xml"/><Relationship Id="rId82" Type="http://schemas.openxmlformats.org/officeDocument/2006/relationships/theme" Target="theme/theme1.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56" Type="http://schemas.openxmlformats.org/officeDocument/2006/relationships/externalLink" Target="externalLinks/externalLink52.xml"/><Relationship Id="rId64" Type="http://schemas.openxmlformats.org/officeDocument/2006/relationships/externalLink" Target="externalLinks/externalLink60.xml"/><Relationship Id="rId69" Type="http://schemas.openxmlformats.org/officeDocument/2006/relationships/externalLink" Target="externalLinks/externalLink65.xml"/><Relationship Id="rId77" Type="http://schemas.openxmlformats.org/officeDocument/2006/relationships/externalLink" Target="externalLinks/externalLink73.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72" Type="http://schemas.openxmlformats.org/officeDocument/2006/relationships/externalLink" Target="externalLinks/externalLink68.xml"/><Relationship Id="rId80" Type="http://schemas.openxmlformats.org/officeDocument/2006/relationships/externalLink" Target="externalLinks/externalLink76.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59" Type="http://schemas.openxmlformats.org/officeDocument/2006/relationships/externalLink" Target="externalLinks/externalLink55.xml"/><Relationship Id="rId67" Type="http://schemas.openxmlformats.org/officeDocument/2006/relationships/externalLink" Target="externalLinks/externalLink63.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externalLink" Target="externalLinks/externalLink58.xml"/><Relationship Id="rId70" Type="http://schemas.openxmlformats.org/officeDocument/2006/relationships/externalLink" Target="externalLinks/externalLink66.xml"/><Relationship Id="rId75" Type="http://schemas.openxmlformats.org/officeDocument/2006/relationships/externalLink" Target="externalLinks/externalLink71.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73" Type="http://schemas.openxmlformats.org/officeDocument/2006/relationships/externalLink" Target="externalLinks/externalLink69.xml"/><Relationship Id="rId78" Type="http://schemas.openxmlformats.org/officeDocument/2006/relationships/externalLink" Target="externalLinks/externalLink74.xml"/><Relationship Id="rId81" Type="http://schemas.openxmlformats.org/officeDocument/2006/relationships/externalLink" Target="externalLinks/externalLink7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10827</xdr:colOff>
      <xdr:row>1</xdr:row>
      <xdr:rowOff>85547</xdr:rowOff>
    </xdr:from>
    <xdr:to>
      <xdr:col>17</xdr:col>
      <xdr:colOff>244869</xdr:colOff>
      <xdr:row>19</xdr:row>
      <xdr:rowOff>7750</xdr:rowOff>
    </xdr:to>
    <xdr:pic>
      <xdr:nvPicPr>
        <xdr:cNvPr id="2" name="圖片 1">
          <a:extLst>
            <a:ext uri="{FF2B5EF4-FFF2-40B4-BE49-F238E27FC236}">
              <a16:creationId xmlns:a16="http://schemas.microsoft.com/office/drawing/2014/main" id="{5FF97379-A087-DC4D-66E4-198EFD612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35827" y="292612"/>
          <a:ext cx="5733695" cy="36493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615042</xdr:colOff>
      <xdr:row>4</xdr:row>
      <xdr:rowOff>103414</xdr:rowOff>
    </xdr:from>
    <xdr:to>
      <xdr:col>35</xdr:col>
      <xdr:colOff>170070</xdr:colOff>
      <xdr:row>30</xdr:row>
      <xdr:rowOff>174456</xdr:rowOff>
    </xdr:to>
    <xdr:pic>
      <xdr:nvPicPr>
        <xdr:cNvPr id="3" name="圖片 2">
          <a:extLst>
            <a:ext uri="{FF2B5EF4-FFF2-40B4-BE49-F238E27FC236}">
              <a16:creationId xmlns:a16="http://schemas.microsoft.com/office/drawing/2014/main" id="{A7040E01-458E-DE87-7C36-7633AD892357}"/>
            </a:ext>
          </a:extLst>
        </xdr:cNvPr>
        <xdr:cNvPicPr>
          <a:picLocks noChangeAspect="1"/>
        </xdr:cNvPicPr>
      </xdr:nvPicPr>
      <xdr:blipFill>
        <a:blip xmlns:r="http://schemas.openxmlformats.org/officeDocument/2006/relationships" r:embed="rId2"/>
        <a:stretch>
          <a:fillRect/>
        </a:stretch>
      </xdr:blipFill>
      <xdr:spPr>
        <a:xfrm>
          <a:off x="15582899" y="919843"/>
          <a:ext cx="8399671" cy="53778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CYL3\DAT\ENGFORM\ENG1\99173-2\ENG1\SRC-B3U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Tamco0003\&#20661;&#27402;&#31649;&#29702;&#37096;-&#40643;&#21185;&#22575;\My%20Documents\NPL\NPL%20Payment%20Schedul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WINNT\Temp\DCF%20Value%20Summary.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21271;&#35347;\&#38928;&#31639;\&#39640;&#25033;&#22823;&#20108;&#38542;&#27573;&#38928;&#3163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Cktc\&#26989;&#21209;&#20633;&#20221;&#36039;&#26009;\WINDOWS\TEMP\9007-B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F:\06_&#31038;&#21312;&#26356;&#26032;&#37096;\02&#23560;&#26696;&#21312;&#65292;&#36245;&#24555;&#32080;&#26696;&#21543;&#65281;\P9721&#22823;&#23433;&#40845;&#27849;&#27573;&#19968;&#23567;&#27573;&#26356;&#26032;&#20107;&#26989;&#26696;(&#24373;&#32676;&#20736;)\&#27402;&#35722;&#35430;&#31639;\1000907&#26707;&#37030;&#24314;&#35373;\&#26041;&#26696;&#27604;&#36611;&#27284;&#26696;\va94190\94190_Ld,SL(&#223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0225;&#21123;&#35506;3\90&#24180;&#38928;&#31639;\My%20Documents\Budget\2000\89&#36774;&#20844;&#36027;&#38928;&#31639;\Charles\89but\DATA\WYH\BUDGET86\DATA\BUDGET86\LIFEDF8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Documents%20and%20Settings\alin\Local%20Settings\Temporary%20Internet%20Files\OLK1C\Preliminary%20UW_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303&#38515;&#22283;&#31456;\REPORT\REPORT\&#31684;&#26412;\&#19968;&#33324;&#22577;&#21578;&#26684;&#24335;9403\94CB0004&#26085;&#21213;&#21335;&#28207;\&#20986;&#22577;&#21578;&#36039;&#26009;\&#27604;&#36611;&#27861;&#20272;&#20729;(V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SAVTWFS01\Corporate\Project\&#30343;&#26124;&#29151;&#36896;\Finance%20analysis-&#30343;&#2612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J:\Documents%20and%20Settings\User\&#26700;&#38754;\&#20272;&#20729;&#22577;&#21578;&#27511;&#21490;&#27284;\AMC&#26696;&#20214;\A200510031&#35488;&#27954;&#22826;&#24179;&#20057;&#24314;\A200510031&#35488;&#27954;&#22826;&#24179;&#20057;&#2431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18-\d\&#9679;Shinsei%20Bank_ETB&#9679;\FULL_&#20844;&#23507;&#22823;&#27155;(&#31354;&#3033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Documents%20and%20Settings\brchen\Local%20Settings\Temporary%20Internet%20Files\OLK64\Golden%20Sea%20Horse\UW\Golden%20Seahorse%20Comps%20032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I:\My%20Documents\Budget\2000\89&#36774;&#20844;&#36027;&#38928;&#31639;\Charles\89but\DATA\WYH\BUDGET86\DATA\BUDGET86\LIFEDF8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18-\d\_&#26032;&#35920;_HNB_\LAR&amp;MDT_0933%20(version%2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18-\d\_&#26032;&#35920;_HNB_\LAR&amp;MDT_092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Documents%20and%20Settings\jzhu\Local%20Settings\Temporary%20Internet%20Files\OLK5E\11%2025%2005%20Greenland%20Preliminary%20Underwrit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37117;&#24066;&#26356;&#26032;\&#22303;&#22478;&#37117;&#24066;&#26356;&#26032;&#27402;&#21033;&#20729;&#20540;&#3492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18-\d\&#65124;HNB&#33775;&#21335;&#37504;&#34892;%20%20&#65125;\MDT&#22577;&#21578;&#26360;(&#31354;&#3033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Tamco0003\&#20661;&#27402;&#31649;&#29702;&#37096;-&#40643;&#21185;&#22575;\Underwriting\2002\TAIWAN\CBF\CFGs\FINAL\CBF_CFGs_0711FIN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dsrv-ur1\ur-office5\My%20Documents1\87SRV26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WINNT\temp\DCF%20Fengni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dsrv-ur1\ur-office5\Documents%20and%20Settings\win\Local%20Settings\Temporary%20Internet%20Files\Content.IE5\TRGN9VER\My%20Documents1\87SRV2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Documents%20and%20Settings\mimae\Local%20Settings\Temporary%20Internet%20Files\OLK2D2\ROE%20Maizuru%200526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dsrv-ur1\ur-office5\Documents%20and%20Settings\win\Local%20Settings\Temporary%20Internet%20Files\Content.IE5\TRGN9VER\&#26032;&#20462;&#27491;\0108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Documents%20and%20Settings\ytomoda\Local%20Settings\Temporary%20Internet%20Files\OLK30D\IAJ&#31119;&#23713;&#33310;&#40372;ROE.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dsrv-ur1\ur-office5\&#26446;&#20806;&#39498;\&#35199;&#22290;&#36335;\&#26399;&#21069;&#20316;&#26989;\&#37117;&#24066;&#26356;&#26032;\&#22303;&#22478;&#37117;&#24066;&#26356;&#26032;&#27402;&#21033;&#20729;&#20540;&#349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Urf\d\&#20811;&#20840;&#30340;&#20844;&#20296;&#27396;\&#22612;&#24736;&#36335;&#25771;&#36960;&#34903;&#26696;\&#25771;&#36960;&#34903;&#37117;&#24066;&#26356;&#26032;&#26696;&#21487;&#34892;&#24615;&#35413;&#20272;&#35215;&#21123;&#26696;\&#26399;&#26411;&#22577;&#21578;\&#25771;&#36960;&#34903;&#27402;&#21033;&#35722;&#25563;&#36001;&#21209;&#35430;&#31639;(&#33268;&#25104;&#20462;&#2749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25237;&#27161;\&#20013;&#33775;&#26691;&#22290;\&#26366;&#24535;&#22283;\Znewcase\&#21932;&#27835;&#24037;&#21830;NEW.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Documents%20and%20Settings\PMCU01\My%20Documents\XlCrl3666187.tmp"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dsrv-ur1\ur-office5\&#28040;&#37329;&#37096;&#19968;&#33324;&#22577;&#21578;\&#20272;&#20729;&#31684;&#26412;\&#26032;&#20462;&#27491;\0108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DONGA\hwpdoc\TEMP\star\WINDOWS\TEMP\WINDOWS\TEMP\WINDOWS\TEMP\WINDOWS\TEMP\mode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X:\00&#23560;&#26696;&#37096;&#20998;&#21312;\P9602&#20013;&#23665;&#24544;&#35488;&#36335;&#21475;&#26356;&#26032;&#26696;\&#20107;&#26989;&#21450;&#27402;&#21033;&#35722;&#25563;&#38542;&#27573;\000&#23481;&#29518;&#36001;&#21209;&#35430;&#3163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F:\06_&#31038;&#21312;&#26356;&#26032;&#37096;\02&#23560;&#26696;&#21312;&#65292;&#36245;&#24555;&#32080;&#26696;&#21543;&#65281;\P9721&#22823;&#23433;&#40845;&#27849;&#27573;&#19968;&#23567;&#27573;&#26356;&#26032;&#20107;&#26989;&#26696;(&#24373;&#32676;&#20736;)\&#27402;&#35722;&#35430;&#31639;\1000907&#26707;&#37030;&#24314;&#35373;\&#26041;&#26696;&#27604;&#36611;&#27284;&#26696;\06_&#31038;&#21312;&#26356;&#26032;&#37096;\02&#23560;&#26696;&#21312;&#65292;&#36245;&#24555;&#32080;&#26696;&#21543;&#65281;\&#21271;&#24066;(K9721)&#40845;&#27849;&#27573;&#19968;&#23567;&#27573;&#65288;&#21488;&#22823;B16)\&#29986;&#21697;&#20998;&#26512;\My%20Documents\&#25105;&#24050;&#25509;&#25910;&#30340;&#27284;&#26696;\000&#23481;&#29518;&#36001;&#21209;&#35430;&#3163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N5200\&#24040;&#31177;_&#26696;&#20214;&#31649;&#29702;_&#36817;2&#20491;&#26376;&#26696;&#20214;\WINDOWS\Temporary%20Internet%20Files\OLK104\Calender%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17\c\PSDept\2003\&#20272;&#20729;&#20108;&#26376;\GEC\REPro0302119(&#22025;&#32681;&#24066;&#35199;&#21312;)\REPro0302119(&#22025;&#24180;&#33775;)\Office\REPro0302119(&#36774;&#20844;&#23460;)%20colin%20revise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Server\Document\A01\&#20013;&#20449;&#20107;&#21209;&#25152;\AMC\GE2005&#24180;11&#26376;\&#20449;&#21916;2005_11_1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cer-118659c\&#22823;&#23478;&#33258;&#30001;&#23384;&#21462;&#21312;\Documents%20and%20Settings\jima\&#26700;&#38754;\&#26032;&#20272;&#20729;&#31684;&#26412;\TB2-003001-&#33836;&#26377;&#32025;&#24288;-WS-ok.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25237;&#27161;\&#20013;&#33775;&#26691;&#22290;\&#26366;&#24535;&#22283;\Znewcase\LIN\&#24038;&#29151;&#31119;&#23665;.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cer-118659c\&#22823;&#23478;&#33258;&#30001;&#23384;&#21462;&#21312;\Documents%20and%20Settings\jima\&#26700;&#38754;\&#26032;&#20272;&#20729;&#31684;&#26412;\Desktop%20Template%202004-05-2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Server\Document\Projects\Countries\Taiwan\NPL%20Deals\FCB%20II\Asset%20Management\Appraisal\Reappraisal%20060404\LVIT%20cal%20too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Files\data\&#20013;&#27491;&#21312;\&#21488;%20&#38283;%20(&#24544;&#23389;&#26481;&#36335;.&#26477;&#24030;&#21271;&#36335;&#20132;&#21449;&#21475;)\&#37117;&#26356;&#26696;&#32371;&#20132;&#20844;&#26371;&#35373;&#35336;&#36027;&#35336;&#3163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Documents%20and%20Settings\jzhu\My%20Documents\Projects\Alabama(Greenland)\WP\Alabama%20Underwriting%20Model%2012152005_1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0225;&#21123;&#35506;3\90&#24180;&#38928;&#31639;\Budget\Budget\89&#21508;&#37096;&#23460;&#38928;&#31639;\DATA\&#39640;&#29577;&#21375;\DATA\CHARLES\&#21508;&#37096;&#20154;~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WINNT\Temp\model%20template-071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0225;&#21123;&#35506;3\90&#24180;&#38928;&#31639;\My%20Documents\Budget\2000\89&#36774;&#20844;&#36027;&#38928;&#31639;\Charles\89but\DATA\WYH\BUDGET86\DATA\BUDGET86\BUDGET8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NT\&#20849;&#21516;\&#21488;&#28771;&#37329;&#32879;\&#20013;&#33775;&#35413;&#20272;&#34920;-&#23436;&#31295;(9.1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25237;&#27161;\&#20013;&#33775;&#26691;&#22290;\&#26366;&#24535;&#22283;\Znewcase\70812000\ENG1\ENTRY\ENTRY-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92.168.2.250\&#37329;&#34701;&#37117;&#26356;\01&#26989;&#21209;&#37096;&#20849;&#29992;&#36039;&#26009;&#22846;\&#26989;&#21209;&#37096;&#20849;&#29992;&#36039;&#26009;(&#20844;&#21578;&#29256;)\013-2%20&#23560;&#26696;&#20108;&#34389;\09&#25216;&#34899;&#21312;\01&#37117;&#26356;&#35413;&#20272;&#31684;&#26412;(&#29518;&#21237;&#20540;&#21450;&#36001;&#21209;&#35430;&#31639;)(&#33274;&#21271;)\&#36001;&#21209;&#35430;&#31639;\My%20Documents1\87SRV265.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Tcb-server\data2%20(F)\&#22577;&#21578;&#26684;&#24335;--&#2286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26.70.10\shared\WINNT\temp\DCF%20SJZ%20San%20Lu%20Parent.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Server\d\&#22478;&#37129;&#39080;&#35980;\&#24432;&#21270;&#37504;&#34892;-&#38928;&#31639;121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25237;&#27161;\&#20013;&#33775;&#26691;&#22290;\&#26366;&#24535;&#22283;\Znewcase\79010000\ENG1\BSLURY.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26494;&#23665;&#21312;&#32654;&#20161;&#27573;(c).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J:\&#26494;&#23665;&#21312;&#32654;&#20161;&#27573;(c).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0225;&#21123;&#35506;3\90&#24180;&#38928;&#31639;\My%20Documents\Budget\2000\89&#36774;&#20844;&#36027;&#38928;&#31639;\Charles\89but\DATA\WYH\BUDGET86\&#38928;&#31639;&#34920;&#26684;.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dsrv-ur1\ur-office5\mydocument\JOB\&#22823;&#21516;&#21312;&#29577;&#27849;&#27573;&#19968;&#23567;&#27573;\&#22522;&#26412;&#36039;&#26009;\&#22320;&#31821;&#36039;&#26009;\&#22320;&#31821;&#36039;&#2600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20811;&#20840;\&#20811;&#20840;&#30340;&#20844;&#20296;&#27396;\marian\&#38617;&#36899;&#26696;\&#38617;&#36899;&#26696;&#36001;&#21209;&#20998;&#26512;0825.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20811;&#20840;\&#20811;&#20840;&#30340;&#20844;&#20296;&#27396;\&#20339;&#38899;&#20844;&#20296;&#27396;\&#29151;&#24314;&#25104;&#26412;&#35336;&#31639;(&#22826;&#35373;).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A:\My%20Documents\&#21271;&#35347;\&#38928;&#31639;\&#38928;&#31639;&#26360;-&#35373;&#35336;&#37096;&#26368;&#32066;&#2925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172.16.61.6\&#32156;&#21512;&#26989;&#21209;&#19968;&#37096;\mydoc\My%20Dropbox\JOB\&#26356;&#26032;&#26696;&#20214;\&#36939;&#20316;&#20013;&#26696;\&#25991;&#23665;&#21312;&#28330;&#21475;&#34903;-&#35199;&#33775;\&#37129;&#26519;&#35413;&#20272;&#2728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Eva\win-xp%20(c)\windows\TEMP\&#24501;&#20449;&#20272;&#20729;\XLS\&#20491;&#20154;&#20272;&#20729;.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19978;&#29677;&#26063;B&#21312;\SYang\&#31354;&#30333;&#34920;&#26684;\&#27604;&#20729;&#34920;-&#25958;&#2097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22818;&#21335;\e\&#22577;&#21578;&#26684;&#24335;--&#2286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J:\mydocument\JOB\&#22823;&#21516;&#21312;&#29577;&#27849;&#27573;&#19968;&#23567;&#27573;\&#20107;&#26989;&#35336;&#30059;&#21450;&#27402;&#21033;&#35722;&#25563;&#38542;&#27573;\000&#23481;&#29518;&#36001;&#21209;&#35430;&#3163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F:\Documents%20and%20Settings\&#33891;&#25919;&#24432;\Local%20Settings\Temporary%20Internet%20Files\Content.IE5\CZ6BEPEH\940801&#26481;&#26032;&#34903;&#22522;&#26412;&#36039;&#26009;&#20998;&#2651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1121106&#20849;&#21516;&#36000;&#25812;&#32317;&#34920;&amp;&#23481;&#2951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Urf\d\&#20811;&#20840;&#30340;&#20844;&#20296;&#27396;\&#22612;&#24736;&#36335;&#25771;&#36960;&#34903;&#26696;\&#25771;&#36960;&#34903;&#37117;&#24066;&#26356;&#26032;&#26696;&#21487;&#34892;&#24615;&#35413;&#20272;&#35215;&#21123;&#26696;\&#31532;&#20108;&#27425;&#26399;&#20013;&#22577;&#21578;\&#38283;&#30332;&#26041;&#26696;&#2010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I:\Documents%20and%20Settings\Administrator\Local%20Settings\Temporary%20Internet%20Files\Content.IE5\1OWFX9OP\ORIX-AMC&#31684;&#26412;-20051003.xls"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E:\A.%20&#22303;&#38283;&#35413;&#20272;\A100-1130813%20%20&#21271;&#24066;&#21516;&#23433;&#34903;&#37117;&#26356;\2024.08.30%20&#21516;&#23433;&#34903;&#37117;&#26356;&#21512;&#24314;(&#36896;&#20729;25&#12289;&#36067;&#20729;95).xlsx" TargetMode="External"/><Relationship Id="rId1" Type="http://schemas.openxmlformats.org/officeDocument/2006/relationships/externalLinkPath" Target="file:///E:\A.%20&#22303;&#38283;&#35413;&#20272;\A100-1130813%20%20&#21271;&#24066;&#21516;&#23433;&#34903;&#37117;&#26356;\2024.08.30%20&#21516;&#23433;&#34903;&#37117;&#26356;&#21512;&#24314;(&#36896;&#20729;25&#12289;&#36067;&#20729;95).xlsx"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file:///E:\A.%20&#22303;&#38283;&#35413;&#20272;\00%20&#36001;&#21209;&#35430;&#31639;&#34920;\20240417&#19977;&#37325;&#21312;&#38263;&#27138;&#27573;370&#31561;4&#31558;&#22320;&#34399;(&#37117;&#35336;&#35722;&#26356;%20&#36023;&#36067;130%20&#23481;&#31309;200+50%20&#23481;&#31227;15%20)rev1.xlsx" TargetMode="External"/><Relationship Id="rId1" Type="http://schemas.openxmlformats.org/officeDocument/2006/relationships/externalLinkPath" Target="file:///E:\A.%20&#22303;&#38283;&#35413;&#20272;\00%20&#36001;&#21209;&#35430;&#31639;&#34920;\20240417&#19977;&#37325;&#21312;&#38263;&#27138;&#27573;370&#31561;4&#31558;&#22320;&#34399;(&#37117;&#35336;&#35722;&#26356;%20&#36023;&#36067;130%20&#23481;&#31309;200+50%20&#23481;&#31227;15%20)rev1.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F:\06_&#31038;&#21312;&#26356;&#26032;&#37096;\02&#23560;&#26696;&#21312;&#65292;&#36245;&#24555;&#32080;&#26696;&#21543;&#65281;\P9721&#22823;&#23433;&#40845;&#27849;&#27573;&#19968;&#23567;&#27573;&#26356;&#26032;&#20107;&#26989;&#26696;(&#24373;&#32676;&#20736;)\&#27402;&#35722;&#35430;&#31639;\1000907&#26707;&#37030;&#24314;&#35373;\&#26041;&#26696;&#27604;&#36611;&#27284;&#26696;\01&#22522;&#37329;&#26371;&#24037;&#20316;&#20839;&#23481;\001&#33253;&#40845;&#34903;&#26356;&#26032;&#26696;\931228&#33253;&#40845;&#34903;&#26893;&#31077;\&#27402;&#35722;&#35430;&#31639;\960412&#27402;&#21033;&#35722;&#25563;(&#30003;&#35531;&#20998;&#37197;)&#2046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O:\01&#22522;&#37329;&#26371;&#24037;&#20316;&#20839;&#23481;\001&#33253;&#40845;&#34903;&#26356;&#26032;&#26696;\931228&#33253;&#40845;&#34903;&#26893;&#31077;\&#27402;&#35722;&#35430;&#31639;\951215&#27402;&#21033;&#35722;&#25563;(&#30003;&#35531;&#20998;&#37197;)&#2046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F:\06_&#31038;&#21312;&#26356;&#26032;&#37096;\02&#23560;&#26696;&#21312;&#65292;&#36245;&#24555;&#32080;&#26696;&#21543;&#65281;\P9721&#22823;&#23433;&#40845;&#27849;&#27573;&#19968;&#23567;&#27573;&#26356;&#26032;&#20107;&#26989;&#26696;(&#24373;&#32676;&#20736;)\&#27402;&#35722;&#35430;&#31639;\1000907&#26707;&#37030;&#24314;&#35373;\&#26041;&#26696;&#27604;&#36611;&#27284;&#26696;\&#24489;&#33775;&#37504;&#34892;NPL\&#23542;&#33775;&#37504;&#34892;&#22577;&#21578;&#26360;&#26684;&#24335;-0228\&#23542;&#33775;&#37504;&#34892;&#22577;&#21578;&#26684;&#24335;(Desktop).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Ted-ntserver01\team-e\a\EXCEL\TA21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Tsai\d\XLS\CA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E:\Users\scott1114\Desktop\&#24037;&#20316;&#20013;\&#40657;&#37117;&#36039;&#26009;\file:\Irenliu\my%20documents\windows\TEMP\&#24501;&#20449;&#20272;&#20729;\XLS\&#20491;&#20154;&#20272;&#2072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金融中心概估  (2)"/>
      <sheetName val="金融中心概估  (3)"/>
      <sheetName val="金融中心概估  (4)"/>
      <sheetName val="CT-1 (3)"/>
      <sheetName val="SRC-B3U2"/>
      <sheetName val="SRC_B3U2"/>
      <sheetName val="現金流量表"/>
      <sheetName val="LD_全-2.25"/>
      <sheetName val="Sheet1"/>
      <sheetName val="裝潢工程石材工程"/>
      <sheetName val="土地同意比例(951004)"/>
      <sheetName val="土地買賣比較法(東側停車場)"/>
      <sheetName val="土開法(東側停車場)"/>
      <sheetName val="1土地鑑定表"/>
      <sheetName val="5成本"/>
      <sheetName val="3建物鑑定表"/>
      <sheetName val="2面積整理"/>
      <sheetName val="土地"/>
      <sheetName val="歸地"/>
      <sheetName val="合法拆補"/>
      <sheetName val="拆除計畫"/>
      <sheetName val="收益法"/>
      <sheetName val="建物比較法"/>
      <sheetName val="委託人清單"/>
      <sheetName val="BaseUT"/>
      <sheetName val="鋼筋號數表"/>
      <sheetName val="臺灣鄉鎮市區"/>
      <sheetName val="金融中心概估__(2)"/>
      <sheetName val="金融中心概估__(3)"/>
      <sheetName val="金融中心概估__(4)"/>
      <sheetName val="CT-1_(3)"/>
      <sheetName val="LD_全-2_25"/>
      <sheetName val="計算檢核"/>
      <sheetName val="Summary"/>
      <sheetName val="安全驗證"/>
      <sheetName val="Collateral"/>
      <sheetName val="獎勵容積"/>
      <sheetName val="Assumptions"/>
      <sheetName val="更新整體開發收益表"/>
      <sheetName val="Datascreen"/>
      <sheetName val="建號"/>
      <sheetName val="9207物價指數"/>
      <sheetName val="開發內容"/>
      <sheetName val="COST1_3"/>
      <sheetName val="銷售假設"/>
      <sheetName val="摘要"/>
      <sheetName val="車位填表"/>
      <sheetName val="違章處理結果"/>
      <sheetName val="開發內容假設"/>
      <sheetName val="設計假設"/>
      <sheetName val="金融中心概估__(2)1"/>
      <sheetName val="金融中心概估__(3)1"/>
      <sheetName val="金融中心概估__(4)1"/>
      <sheetName val="CT-1_(3)1"/>
      <sheetName val="LD_全-2_251"/>
      <sheetName val="총괄표"/>
      <sheetName val="Sensitivities"/>
      <sheetName val="Expense"/>
      <sheetName val="Rent_Comp"/>
      <sheetName val="TornadoCharts"/>
      <sheetName val="Main"/>
      <sheetName val="Cash_Flow"/>
      <sheetName val="#REF"/>
      <sheetName val="IRR"/>
      <sheetName val="摘要表"/>
      <sheetName val="Sheet_D-3"/>
      <sheetName val="최초_(2)"/>
      <sheetName val="controls"/>
      <sheetName val="menu"/>
      <sheetName val="CostSchedule"/>
      <sheetName val="단서적용"/>
      <sheetName val="Inputs"/>
      <sheetName val="團險職團人"/>
      <sheetName val="Physical"/>
      <sheetName val="不同组合模式分析"/>
      <sheetName val="US$_Real"/>
      <sheetName val="85預算"/>
      <sheetName val="Value"/>
      <sheetName val="Global_Inputs"/>
      <sheetName val="Total_list"/>
      <sheetName val="단서적용요약"/>
      <sheetName val="Datatape"/>
      <sheetName val="代碼檔"/>
      <sheetName val="基本單價"/>
      <sheetName val="基礎資料與審議資料"/>
      <sheetName val="資料"/>
      <sheetName val="ORIX-AMC範本-20051003"/>
      <sheetName val="工程預算表"/>
      <sheetName val="參數表"/>
      <sheetName val="TB"/>
      <sheetName val="Price Summary"/>
      <sheetName val="BS"/>
      <sheetName val="TOT"/>
      <sheetName val="WC1"/>
      <sheetName val="sales group"/>
      <sheetName val="Sheet4"/>
      <sheetName val="中央監控(單)"/>
      <sheetName val="合約價"/>
      <sheetName val="監控"/>
      <sheetName val="結構單價分析"/>
      <sheetName val="工作表1"/>
      <sheetName val="工程標單"/>
      <sheetName val="買賣比較法(1F)"/>
      <sheetName val="4標的基本資料"/>
      <sheetName val="租金比較法(1F)"/>
      <sheetName val="TTW"/>
      <sheetName val="母表彙整-橫式-010906"/>
      <sheetName val="下拉式選單"/>
      <sheetName val="BasicUT"/>
      <sheetName val="3"/>
      <sheetName val="7"/>
      <sheetName val="投标材料清单 "/>
      <sheetName val="施工預算明細表"/>
      <sheetName val="金融中心概估__(2)2"/>
      <sheetName val="金融中心概估__(3)2"/>
      <sheetName val="金融中心概估__(4)2"/>
      <sheetName val="CT-1_(3)2"/>
      <sheetName val="LD_全-2_252"/>
      <sheetName val="Price_Summary"/>
      <sheetName val="sales_group"/>
      <sheetName val="投标材料清单_"/>
      <sheetName val="成本中心"/>
      <sheetName val="金融中心概估__(2)3"/>
      <sheetName val="金融中心概估__(3)3"/>
      <sheetName val="金融中心概估__(4)3"/>
      <sheetName val="CT-1_(3)3"/>
      <sheetName val="LD_全-2_253"/>
      <sheetName val="Price_Summary1"/>
      <sheetName val="sales_group1"/>
      <sheetName val="投标材料清单_1"/>
      <sheetName val="金融中心概估__(2)4"/>
      <sheetName val="金融中心概估__(3)4"/>
      <sheetName val="金融中心概估__(4)4"/>
      <sheetName val="CT-1_(3)4"/>
      <sheetName val="LD_全-2_254"/>
      <sheetName val="Price_Summary2"/>
      <sheetName val="sales_group2"/>
      <sheetName val="金融中心概估__(2)5"/>
      <sheetName val="金融中心概估__(3)5"/>
      <sheetName val="金融中心概估__(4)5"/>
      <sheetName val="CT-1_(3)5"/>
      <sheetName val="LD_全-2_255"/>
      <sheetName val="Price_Summary3"/>
      <sheetName val="sales_group3"/>
      <sheetName val="投标材料清单_2"/>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PL Payment Schedule"/>
      <sheetName val="Total_list"/>
      <sheetName val="Sheet D-3"/>
      <sheetName val="총괄표"/>
      <sheetName val="최초 (2)"/>
      <sheetName val="Sheet A"/>
      <sheetName val="Sheet D-1"/>
      <sheetName val="Earning Summary(past-future)"/>
      <sheetName val="Sheet B"/>
      <sheetName val="Hana 2001 Program Regular Asset"/>
      <sheetName val="단서적용요약"/>
      <sheetName val="단서적용"/>
      <sheetName val="Physical"/>
      <sheetName val="Sheet D-2"/>
      <sheetName val="Sheet C-2"/>
      <sheetName val="Sheet D_3"/>
      <sheetName val="최초 _2_"/>
      <sheetName val="Sheet D_1"/>
      <sheetName val="???"/>
      <sheetName val="?? (2)"/>
      <sheetName val="??????"/>
      <sheetName val="????"/>
      <sheetName val="85預算"/>
      <sheetName val="土地"/>
      <sheetName val="LD_全-2.25"/>
      <sheetName val="外15薪基84"/>
      <sheetName val="公設比32.8%"/>
      <sheetName val="摘要表"/>
      <sheetName val="Datascreen"/>
      <sheetName val="報告內容"/>
      <sheetName val="土估表"/>
      <sheetName val="建估表"/>
      <sheetName val="SRC-B3U2"/>
      <sheetName val="___"/>
      <sheetName val="__ (2)"/>
      <sheetName val="______"/>
      <sheetName val="____"/>
      <sheetName val="代碼檔"/>
      <sheetName val="Sheet1"/>
      <sheetName val="NPL_Payment_Schedule"/>
      <sheetName val="Sheet_D-3"/>
      <sheetName val="최초_(2)"/>
      <sheetName val="Sheet_A"/>
      <sheetName val="Sheet_D-1"/>
      <sheetName val="Earning_Summary(past-future)"/>
      <sheetName val="Sheet_B"/>
      <sheetName val="Hana_2001_Program_Regular_Asset"/>
      <sheetName val="Sheet_D-2"/>
      <sheetName val="Sheet_C-2"/>
      <sheetName val="Sheet_D_3"/>
      <sheetName val="최초__2_"/>
      <sheetName val="Sheet_D_1"/>
      <sheetName val="??_(2)"/>
      <sheetName val="LD_全-2_25"/>
      <sheetName val="公設比32_8%"/>
      <sheetName val="___(2)"/>
      <sheetName val="NPL_Payment_Schedule1"/>
      <sheetName val="Sheet_D-31"/>
      <sheetName val="최초_(2)1"/>
      <sheetName val="Sheet_A1"/>
      <sheetName val="Sheet_D-11"/>
      <sheetName val="Earning_Summary(past-future)1"/>
      <sheetName val="Sheet_B1"/>
      <sheetName val="Hana_2001_Program_Regular_Asse1"/>
      <sheetName val="Sheet_D-21"/>
      <sheetName val="Sheet_C-21"/>
      <sheetName val="Sheet_D_31"/>
      <sheetName val="최초__2_1"/>
      <sheetName val="Sheet_D_11"/>
      <sheetName val="??_(2)1"/>
      <sheetName val="LD_全-2_251"/>
      <sheetName val="公設比32_8%1"/>
      <sheetName val="___(2)1"/>
      <sheetName val="Sensitivities"/>
      <sheetName val="TornadoCharts"/>
      <sheetName val="US$ Real"/>
      <sheetName val="Value"/>
      <sheetName val="Global Inputs"/>
      <sheetName val="獎勵容積"/>
      <sheetName val="現地安置面積與應分配價值計算表"/>
      <sheetName val="NPL_Payment_Schedule2"/>
      <sheetName val="Sheet_D-32"/>
      <sheetName val="최초_(2)2"/>
      <sheetName val="Sheet_A2"/>
      <sheetName val="Sheet_D-12"/>
      <sheetName val="Earning_Summary(past-future)2"/>
      <sheetName val="Sheet_B2"/>
      <sheetName val="Hana_2001_Program_Regular_Asse2"/>
      <sheetName val="Sheet_D-22"/>
      <sheetName val="Sheet_C-22"/>
      <sheetName val="Sheet_D_32"/>
      <sheetName val="최초__2_2"/>
      <sheetName val="Sheet_D_12"/>
      <sheetName val="??_(2)2"/>
      <sheetName val="LD_全-2_252"/>
      <sheetName val="公設比32_8%2"/>
      <sheetName val="___(2)2"/>
      <sheetName val="US$_Real"/>
      <sheetName val="Global_Inputs"/>
      <sheetName val="NPL_Payment_Schedule3"/>
      <sheetName val="Sheet_D-33"/>
      <sheetName val="최초_(2)3"/>
      <sheetName val="Sheet_A3"/>
      <sheetName val="Sheet_D-13"/>
      <sheetName val="Earning_Summary(past-future)3"/>
      <sheetName val="Sheet_B3"/>
      <sheetName val="Hana_2001_Program_Regular_Asse3"/>
      <sheetName val="Sheet_D-23"/>
      <sheetName val="Sheet_C-23"/>
      <sheetName val="Sheet_D_33"/>
      <sheetName val="최초__2_3"/>
      <sheetName val="Sheet_D_13"/>
      <sheetName val="??_(2)3"/>
      <sheetName val="LD_全-2_253"/>
      <sheetName val="公設比32_8%3"/>
      <sheetName val="___(2)3"/>
      <sheetName val="US$_Real1"/>
      <sheetName val="Global_Inputs1"/>
      <sheetName val="NPL_Payment_Schedule4"/>
      <sheetName val="Sheet_D-34"/>
      <sheetName val="최초_(2)4"/>
      <sheetName val="Sheet_A4"/>
      <sheetName val="Sheet_D-14"/>
      <sheetName val="Earning_Summary(past-future)4"/>
      <sheetName val="Sheet_B4"/>
      <sheetName val="Hana_2001_Program_Regular_Asse4"/>
      <sheetName val="Sheet_D-24"/>
      <sheetName val="Sheet_C-24"/>
      <sheetName val="Sheet_D_34"/>
      <sheetName val="최초__2_4"/>
      <sheetName val="Sheet_D_14"/>
      <sheetName val="??_(2)4"/>
      <sheetName val="LD_全-2_254"/>
      <sheetName val="公設比32_8%4"/>
      <sheetName val="___(2)4"/>
      <sheetName val="US$_Real2"/>
      <sheetName val="Global_Inputs2"/>
      <sheetName val="NPL_Payment_Schedule5"/>
      <sheetName val="Sheet_D-35"/>
      <sheetName val="최초_(2)5"/>
      <sheetName val="Sheet_A5"/>
      <sheetName val="Sheet_D-15"/>
      <sheetName val="Earning_Summary(past-future)5"/>
      <sheetName val="Sheet_B5"/>
      <sheetName val="Hana_2001_Program_Regular_Asse5"/>
      <sheetName val="Sheet_D-25"/>
      <sheetName val="Sheet_C-25"/>
      <sheetName val="Sheet_D_35"/>
      <sheetName val="최초__2_5"/>
      <sheetName val="Sheet_D_15"/>
      <sheetName val="??_(2)5"/>
      <sheetName val="LD_全-2_255"/>
      <sheetName val="公設比32_8%5"/>
      <sheetName val="___(2)5"/>
      <sheetName val="US$_Real3"/>
      <sheetName val="Global_Input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Assumptions"/>
      <sheetName val="SummaryCharts"/>
      <sheetName val="TornadoCharts"/>
      <sheetName val="Sensitivities"/>
      <sheetName val="Checks"/>
      <sheetName val="Value"/>
      <sheetName val="Global Inputs"/>
      <sheetName val="Consol 1 Yr"/>
      <sheetName val="Consol Fin Stats"/>
      <sheetName val="US$ Real"/>
      <sheetName val="NZ Milk Reports"/>
      <sheetName val="Capex Smry"/>
      <sheetName val="Template"/>
      <sheetName val="US_ Real"/>
      <sheetName val="不同组合模式分析"/>
      <sheetName val="Expense"/>
      <sheetName val="Summary"/>
      <sheetName val="총괄표"/>
      <sheetName val="Sheet D-3"/>
      <sheetName val="최초 (2)"/>
      <sheetName val="단서적용"/>
      <sheetName val="Physical"/>
      <sheetName val="Total_list"/>
      <sheetName val="단서적용요약"/>
      <sheetName val="單價分析"/>
      <sheetName val="List"/>
      <sheetName val="CostSchedule"/>
      <sheetName val="LTV Calculation"/>
      <sheetName val="工程預算書(修正後)"/>
      <sheetName val="I-98BASE"/>
      <sheetName val="BSIS98"/>
      <sheetName val="Key_Assumptions"/>
      <sheetName val="Global_Inputs"/>
      <sheetName val="Consol_1_Yr"/>
      <sheetName val="Consol_Fin_Stats"/>
      <sheetName val="US$_Real"/>
      <sheetName val="NZ_Milk_Reports"/>
      <sheetName val="Capex_Smry"/>
      <sheetName val="US__Real"/>
      <sheetName val="Sheet_D-3"/>
      <sheetName val="최초_(2)"/>
      <sheetName val="土開"/>
      <sheetName val="Key_Assumptions1"/>
      <sheetName val="Global_Inputs1"/>
      <sheetName val="Consol_1_Yr1"/>
      <sheetName val="Consol_Fin_Stats1"/>
      <sheetName val="US$_Real1"/>
      <sheetName val="NZ_Milk_Reports1"/>
      <sheetName val="Capex_Smry1"/>
      <sheetName val="US__Real1"/>
      <sheetName val="Sheet_D-31"/>
      <sheetName val="최초_(2)1"/>
      <sheetName val="LTV_Calculation"/>
      <sheetName val="Key_Assumptions2"/>
      <sheetName val="Global_Inputs2"/>
      <sheetName val="Consol_1_Yr2"/>
      <sheetName val="Consol_Fin_Stats2"/>
      <sheetName val="US$_Real2"/>
      <sheetName val="NZ_Milk_Reports2"/>
      <sheetName val="Capex_Smry2"/>
      <sheetName val="US__Real2"/>
      <sheetName val="Sheet_D-32"/>
      <sheetName val="최초_(2)2"/>
      <sheetName val="LTV_Calculation1"/>
      <sheetName val="Key_Assumptions3"/>
      <sheetName val="Global_Inputs3"/>
      <sheetName val="Consol_1_Yr3"/>
      <sheetName val="Consol_Fin_Stats3"/>
      <sheetName val="US$_Real3"/>
      <sheetName val="NZ_Milk_Reports3"/>
      <sheetName val="Capex_Smry3"/>
      <sheetName val="US__Real3"/>
      <sheetName val="Sheet_D-33"/>
      <sheetName val="최초_(2)3"/>
      <sheetName val="LTV_Calculation2"/>
      <sheetName val="Key_Assumptions4"/>
      <sheetName val="Global_Inputs4"/>
      <sheetName val="Consol_1_Yr4"/>
      <sheetName val="Consol_Fin_Stats4"/>
      <sheetName val="US$_Real4"/>
      <sheetName val="NZ_Milk_Reports4"/>
      <sheetName val="Capex_Smry4"/>
      <sheetName val="US__Real4"/>
      <sheetName val="Sheet_D-34"/>
      <sheetName val="최초_(2)4"/>
      <sheetName val="LTV_Calculation3"/>
    </sheetNames>
    <sheetDataSet>
      <sheetData sheetId="0" refreshError="1"/>
      <sheetData sheetId="1" refreshError="1"/>
      <sheetData sheetId="2" refreshError="1">
        <row r="17">
          <cell r="G17">
            <v>691.70762181519819</v>
          </cell>
          <cell r="H17">
            <v>719.13316751643538</v>
          </cell>
          <cell r="I17">
            <v>735.13010987698487</v>
          </cell>
          <cell r="J17">
            <v>513.37145899534016</v>
          </cell>
          <cell r="K17">
            <v>437.58172557347928</v>
          </cell>
          <cell r="L17">
            <v>695.4049063886747</v>
          </cell>
          <cell r="M17">
            <v>537.70820890860546</v>
          </cell>
          <cell r="N17">
            <v>635.88723596402315</v>
          </cell>
          <cell r="O17">
            <v>697.67208427930484</v>
          </cell>
          <cell r="P17">
            <v>562.83082495228632</v>
          </cell>
        </row>
        <row r="18">
          <cell r="G18">
            <v>816.50779070678152</v>
          </cell>
          <cell r="H18">
            <v>762.0452542862173</v>
          </cell>
          <cell r="I18">
            <v>761.84130261969472</v>
          </cell>
          <cell r="J18">
            <v>977.50572606097955</v>
          </cell>
          <cell r="K18">
            <v>1052.2307625384158</v>
          </cell>
          <cell r="L18">
            <v>797.59266983140674</v>
          </cell>
          <cell r="M18">
            <v>954.97675701201706</v>
          </cell>
          <cell r="N18">
            <v>888.61145511915265</v>
          </cell>
          <cell r="O18">
            <v>794.86861332509898</v>
          </cell>
          <cell r="P18">
            <v>916.61274464506641</v>
          </cell>
        </row>
        <row r="22">
          <cell r="G22">
            <v>746.49793986516181</v>
          </cell>
        </row>
        <row r="66">
          <cell r="G66" t="str">
            <v>Volume Growth Liquid (+/- 5%)</v>
          </cell>
          <cell r="H66" t="str">
            <v>Volume Growth Powder (+/- 5%)</v>
          </cell>
          <cell r="I66" t="str">
            <v>Wage Growth (+/- 2%)</v>
          </cell>
          <cell r="J66" t="str">
            <v>Capex (+/- 10%)</v>
          </cell>
          <cell r="K66" t="str">
            <v>Terminal Growth (+/- 1%)</v>
          </cell>
          <cell r="L66" t="str">
            <v>WACC (+/- 1%)</v>
          </cell>
          <cell r="M66" t="str">
            <v>Tsfer Price
Margins (+/- 5%)</v>
          </cell>
          <cell r="N66" t="str">
            <v>Milk Price Growth (+/- 5%)</v>
          </cell>
          <cell r="O66" t="str">
            <v>Sales Price 
Growth Powder (+/- 5%)</v>
          </cell>
          <cell r="P66" t="str">
            <v>Sales Price 
Growth Liquid (+/- 5%)</v>
          </cell>
        </row>
        <row r="67">
          <cell r="G67">
            <v>735.13010987698487</v>
          </cell>
          <cell r="H67">
            <v>719.13316751643538</v>
          </cell>
          <cell r="I67">
            <v>697.67208427930484</v>
          </cell>
          <cell r="J67">
            <v>695.4049063886747</v>
          </cell>
          <cell r="K67">
            <v>691.70762181519819</v>
          </cell>
          <cell r="L67">
            <v>635.88723596402315</v>
          </cell>
          <cell r="M67">
            <v>562.83082495228632</v>
          </cell>
          <cell r="N67">
            <v>537.70820890860546</v>
          </cell>
          <cell r="O67">
            <v>513.37145899534016</v>
          </cell>
          <cell r="P67">
            <v>437.58172557347928</v>
          </cell>
        </row>
        <row r="68">
          <cell r="G68">
            <v>761.84130261969472</v>
          </cell>
          <cell r="H68">
            <v>762.0452542862173</v>
          </cell>
          <cell r="I68">
            <v>794.86861332509898</v>
          </cell>
          <cell r="J68">
            <v>797.59266983140674</v>
          </cell>
          <cell r="K68">
            <v>816.50779070678152</v>
          </cell>
          <cell r="L68">
            <v>888.61145511915265</v>
          </cell>
          <cell r="M68">
            <v>916.61274464506641</v>
          </cell>
          <cell r="N68">
            <v>954.97675701201706</v>
          </cell>
          <cell r="O68">
            <v>977.50572606097955</v>
          </cell>
          <cell r="P68">
            <v>1052.2307625384158</v>
          </cell>
        </row>
        <row r="69">
          <cell r="G69">
            <v>26.711192742709841</v>
          </cell>
          <cell r="H69">
            <v>42.912086769781922</v>
          </cell>
          <cell r="I69">
            <v>97.196529045794136</v>
          </cell>
          <cell r="J69">
            <v>102.18776344273203</v>
          </cell>
          <cell r="K69">
            <v>124.80016889158333</v>
          </cell>
          <cell r="L69">
            <v>252.7242191551295</v>
          </cell>
          <cell r="M69">
            <v>353.78191969278009</v>
          </cell>
          <cell r="N69">
            <v>417.2685481034116</v>
          </cell>
          <cell r="O69">
            <v>464.13426706563939</v>
          </cell>
          <cell r="P69">
            <v>614.6490369649365</v>
          </cell>
        </row>
      </sheetData>
      <sheetData sheetId="3" refreshError="1">
        <row r="10">
          <cell r="B10" t="str">
            <v>Total Equity Value - San Lu Group</v>
          </cell>
          <cell r="C10">
            <v>0</v>
          </cell>
          <cell r="D10">
            <v>0</v>
          </cell>
          <cell r="E10">
            <v>0</v>
          </cell>
          <cell r="F10" t="e">
            <v>#REF!</v>
          </cell>
          <cell r="G10">
            <v>0</v>
          </cell>
          <cell r="H10">
            <v>90156.756022362548</v>
          </cell>
          <cell r="I10">
            <v>1.2711715776557353</v>
          </cell>
          <cell r="J10">
            <v>746497.93986516178</v>
          </cell>
          <cell r="K10">
            <v>10.525300662989485</v>
          </cell>
          <cell r="L10">
            <v>0</v>
          </cell>
          <cell r="M10">
            <v>164556.64145053993</v>
          </cell>
          <cell r="N10">
            <v>35603.295013515642</v>
          </cell>
          <cell r="O10">
            <v>22209.274520524228</v>
          </cell>
          <cell r="P10">
            <v>27619.827957254853</v>
          </cell>
          <cell r="Q10">
            <v>46566.847557317691</v>
          </cell>
          <cell r="R10">
            <v>44053.092773182419</v>
          </cell>
          <cell r="S10">
            <v>295417.14439212694</v>
          </cell>
          <cell r="T10">
            <v>43265.352908872832</v>
          </cell>
          <cell r="U10">
            <v>9280.2621487204742</v>
          </cell>
          <cell r="V10">
            <v>42013.80846710904</v>
          </cell>
          <cell r="W10">
            <v>15912.392675997635</v>
          </cell>
          <cell r="X10">
            <v>0</v>
          </cell>
          <cell r="Y10">
            <v>37782.98660625</v>
          </cell>
        </row>
        <row r="13">
          <cell r="B13" t="str">
            <v>Total Equity Value - San Lu Group</v>
          </cell>
        </row>
        <row r="20">
          <cell r="H20" t="str">
            <v>1</v>
          </cell>
          <cell r="I20" t="str">
            <v>2</v>
          </cell>
        </row>
        <row r="21">
          <cell r="I21">
            <v>746.49793986516181</v>
          </cell>
        </row>
        <row r="22">
          <cell r="F22">
            <v>1</v>
          </cell>
        </row>
        <row r="25">
          <cell r="H25">
            <v>0.104</v>
          </cell>
          <cell r="I25">
            <v>0.104</v>
          </cell>
          <cell r="J25">
            <v>0.11399999999999999</v>
          </cell>
          <cell r="K25">
            <v>9.4E-2</v>
          </cell>
        </row>
        <row r="26">
          <cell r="H26">
            <v>2.1999999999999999E-2</v>
          </cell>
          <cell r="I26">
            <v>2.1999999999999999E-2</v>
          </cell>
          <cell r="J26">
            <v>1.1999999999999999E-2</v>
          </cell>
          <cell r="K26">
            <v>3.2000000000000001E-2</v>
          </cell>
        </row>
        <row r="27">
          <cell r="H27">
            <v>8.2799999999999994</v>
          </cell>
          <cell r="I27">
            <v>8.2799999999999994</v>
          </cell>
        </row>
        <row r="29">
          <cell r="H29">
            <v>0.06</v>
          </cell>
          <cell r="I29">
            <v>0.06</v>
          </cell>
          <cell r="J29">
            <v>0.08</v>
          </cell>
          <cell r="K29">
            <v>3.9999999999999994E-2</v>
          </cell>
        </row>
        <row r="30">
          <cell r="H30">
            <v>0.06</v>
          </cell>
          <cell r="I30">
            <v>0.06</v>
          </cell>
          <cell r="J30">
            <v>0.08</v>
          </cell>
          <cell r="K30">
            <v>3.9999999999999994E-2</v>
          </cell>
        </row>
        <row r="31">
          <cell r="H31">
            <v>0.06</v>
          </cell>
          <cell r="I31">
            <v>0.06</v>
          </cell>
          <cell r="J31">
            <v>0.08</v>
          </cell>
          <cell r="K31">
            <v>3.9999999999999994E-2</v>
          </cell>
        </row>
        <row r="32">
          <cell r="H32">
            <v>0.04</v>
          </cell>
          <cell r="I32">
            <v>0.04</v>
          </cell>
          <cell r="J32">
            <v>0.06</v>
          </cell>
          <cell r="K32">
            <v>0.02</v>
          </cell>
        </row>
        <row r="33">
          <cell r="H33">
            <v>0.04</v>
          </cell>
          <cell r="I33">
            <v>0.04</v>
          </cell>
          <cell r="J33">
            <v>0.06</v>
          </cell>
          <cell r="K33">
            <v>0.02</v>
          </cell>
        </row>
        <row r="36">
          <cell r="H36">
            <v>2</v>
          </cell>
          <cell r="I36">
            <v>2</v>
          </cell>
        </row>
        <row r="39">
          <cell r="H39">
            <v>0</v>
          </cell>
          <cell r="I39">
            <v>0</v>
          </cell>
        </row>
        <row r="40">
          <cell r="H40">
            <v>0.05</v>
          </cell>
          <cell r="I40">
            <v>0.05</v>
          </cell>
        </row>
        <row r="41">
          <cell r="H41">
            <v>0</v>
          </cell>
          <cell r="I41">
            <v>0</v>
          </cell>
        </row>
        <row r="42">
          <cell r="H42">
            <v>0.02</v>
          </cell>
          <cell r="I42">
            <v>0.02</v>
          </cell>
        </row>
        <row r="44">
          <cell r="H44">
            <v>0</v>
          </cell>
          <cell r="I44">
            <v>0</v>
          </cell>
          <cell r="J44">
            <v>-0.05</v>
          </cell>
          <cell r="K44">
            <v>0.05</v>
          </cell>
        </row>
        <row r="45">
          <cell r="H45">
            <v>0</v>
          </cell>
          <cell r="I45">
            <v>0</v>
          </cell>
          <cell r="J45">
            <v>-0.05</v>
          </cell>
          <cell r="K45">
            <v>0.05</v>
          </cell>
        </row>
        <row r="46">
          <cell r="H46">
            <v>0</v>
          </cell>
          <cell r="I46">
            <v>0</v>
          </cell>
          <cell r="J46">
            <v>-0.05</v>
          </cell>
          <cell r="K46">
            <v>0.05</v>
          </cell>
        </row>
        <row r="49">
          <cell r="H49">
            <v>0</v>
          </cell>
          <cell r="I49">
            <v>0</v>
          </cell>
          <cell r="J49">
            <v>-0.05</v>
          </cell>
          <cell r="K49">
            <v>0.05</v>
          </cell>
        </row>
        <row r="50">
          <cell r="H50">
            <v>0</v>
          </cell>
          <cell r="I50">
            <v>0</v>
          </cell>
          <cell r="J50">
            <v>-0.05</v>
          </cell>
          <cell r="K50">
            <v>0.05</v>
          </cell>
        </row>
        <row r="51">
          <cell r="H51">
            <v>0</v>
          </cell>
          <cell r="I51">
            <v>0</v>
          </cell>
          <cell r="J51">
            <v>-0.05</v>
          </cell>
          <cell r="K51">
            <v>0.05</v>
          </cell>
        </row>
        <row r="52">
          <cell r="H52">
            <v>0</v>
          </cell>
          <cell r="I52">
            <v>0</v>
          </cell>
          <cell r="J52">
            <v>-0.05</v>
          </cell>
          <cell r="K52">
            <v>0.05</v>
          </cell>
        </row>
        <row r="55">
          <cell r="H55">
            <v>3.7597717235523249</v>
          </cell>
          <cell r="I55">
            <v>3.7597717235523249</v>
          </cell>
        </row>
        <row r="56">
          <cell r="H56">
            <v>45</v>
          </cell>
          <cell r="I56">
            <v>45</v>
          </cell>
        </row>
        <row r="57">
          <cell r="H57">
            <v>0.15</v>
          </cell>
          <cell r="I57">
            <v>0.15</v>
          </cell>
        </row>
        <row r="58">
          <cell r="H58">
            <v>0.25</v>
          </cell>
          <cell r="I58">
            <v>0.25</v>
          </cell>
        </row>
        <row r="59">
          <cell r="H59">
            <v>0.35</v>
          </cell>
          <cell r="I59">
            <v>0.35</v>
          </cell>
        </row>
        <row r="61">
          <cell r="H61">
            <v>17.304695396367741</v>
          </cell>
          <cell r="I61">
            <v>17.304695396367741</v>
          </cell>
        </row>
        <row r="62">
          <cell r="H62">
            <v>45</v>
          </cell>
          <cell r="I62">
            <v>45</v>
          </cell>
        </row>
        <row r="63">
          <cell r="H63">
            <v>0.4</v>
          </cell>
          <cell r="I63">
            <v>0.4</v>
          </cell>
        </row>
        <row r="64">
          <cell r="H64">
            <v>0.5</v>
          </cell>
          <cell r="I64">
            <v>0.5</v>
          </cell>
        </row>
        <row r="65">
          <cell r="H65">
            <v>0.6</v>
          </cell>
          <cell r="I65">
            <v>0.6</v>
          </cell>
        </row>
        <row r="67">
          <cell r="H67">
            <v>0</v>
          </cell>
          <cell r="I67">
            <v>0</v>
          </cell>
          <cell r="J67">
            <v>0.1</v>
          </cell>
          <cell r="K67">
            <v>-0.1</v>
          </cell>
        </row>
        <row r="69">
          <cell r="F69">
            <v>0</v>
          </cell>
          <cell r="H69">
            <v>0</v>
          </cell>
          <cell r="I69">
            <v>0</v>
          </cell>
          <cell r="J69">
            <v>4.9500000000000002E-2</v>
          </cell>
          <cell r="K69">
            <v>-4.9500000000000002E-2</v>
          </cell>
        </row>
        <row r="71">
          <cell r="F71">
            <v>0</v>
          </cell>
          <cell r="H71">
            <v>0</v>
          </cell>
          <cell r="I71">
            <v>0</v>
          </cell>
          <cell r="J71">
            <v>-0.05</v>
          </cell>
          <cell r="K71">
            <v>0.05</v>
          </cell>
        </row>
        <row r="73">
          <cell r="H73">
            <v>1</v>
          </cell>
          <cell r="I73">
            <v>1</v>
          </cell>
        </row>
      </sheetData>
      <sheetData sheetId="4" refreshError="1"/>
      <sheetData sheetId="5" refreshError="1">
        <row r="6">
          <cell r="G6">
            <v>8.2799999999999994</v>
          </cell>
        </row>
        <row r="31">
          <cell r="J31">
            <v>1</v>
          </cell>
          <cell r="K31">
            <v>0.51</v>
          </cell>
          <cell r="L31">
            <v>0.51</v>
          </cell>
          <cell r="M31">
            <v>0.51</v>
          </cell>
          <cell r="N31">
            <v>0.51</v>
          </cell>
          <cell r="O31">
            <v>0.26</v>
          </cell>
          <cell r="P31">
            <v>0.34</v>
          </cell>
          <cell r="Q31">
            <v>0.51</v>
          </cell>
          <cell r="R31">
            <v>0.51</v>
          </cell>
          <cell r="S31">
            <v>0.51</v>
          </cell>
          <cell r="T31">
            <v>0.51</v>
          </cell>
          <cell r="U31">
            <v>0.27132000000000001</v>
          </cell>
        </row>
      </sheetData>
      <sheetData sheetId="6" refreshError="1">
        <row r="13">
          <cell r="G13">
            <v>70924144</v>
          </cell>
        </row>
      </sheetData>
      <sheetData sheetId="7" refreshError="1"/>
      <sheetData sheetId="8" refreshError="1"/>
      <sheetData sheetId="9" refreshError="1">
        <row r="58">
          <cell r="G58">
            <v>0.13042985893719808</v>
          </cell>
          <cell r="H58">
            <v>0.12614106280193238</v>
          </cell>
          <cell r="I58">
            <v>0.12270531400966184</v>
          </cell>
          <cell r="J58">
            <v>0.12077294685990339</v>
          </cell>
          <cell r="K58">
            <v>0.11898812498512651</v>
          </cell>
          <cell r="L58">
            <v>0.11642673677605334</v>
          </cell>
          <cell r="M58">
            <v>0.11259839146620246</v>
          </cell>
          <cell r="N58">
            <v>0.10953150920836814</v>
          </cell>
          <cell r="O58">
            <v>0.10780660355154344</v>
          </cell>
          <cell r="P58">
            <v>0.10610886176333015</v>
          </cell>
          <cell r="Q58">
            <v>0.10443785606626983</v>
          </cell>
          <cell r="R58">
            <v>0.10279316541955691</v>
          </cell>
          <cell r="S58">
            <v>0.10117437541294971</v>
          </cell>
          <cell r="T58">
            <v>9.958107816235208E-2</v>
          </cell>
        </row>
      </sheetData>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單價"/>
      <sheetName val="單價分析"/>
      <sheetName val="工程預算總表"/>
      <sheetName val="工程數量表"/>
      <sheetName val="Sheet6"/>
      <sheetName val="Sheet7"/>
      <sheetName val="Sheet8"/>
      <sheetName val="Sheet9"/>
      <sheetName val="Sheet4"/>
      <sheetName val="Sheet10"/>
      <sheetName val="Sheet11"/>
      <sheetName val="Sheet12"/>
      <sheetName val="Sheet13"/>
      <sheetName val="Sheet14"/>
      <sheetName val="Sheet15"/>
      <sheetName val="Sheet16"/>
      <sheetName val="更新整體開發收益表"/>
      <sheetName val="INFO"/>
      <sheetName val="報告內容"/>
      <sheetName val="土估表"/>
      <sheetName val="建估表"/>
      <sheetName val="拆除計畫"/>
      <sheetName val="基礎資料與審議資料"/>
      <sheetName val="標單"/>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詳細表"/>
      <sheetName val="建築工程費"/>
      <sheetName val="總表"/>
      <sheetName val="單價分析"/>
      <sheetName val="水電工程費"/>
      <sheetName val="單價分析表 "/>
      <sheetName val="Sensitivities"/>
      <sheetName val="TornadoCharts"/>
      <sheetName val="US$ Real"/>
      <sheetName val="Value"/>
      <sheetName val="Global Inputs"/>
      <sheetName val="單價分析表_"/>
      <sheetName val="單價分析表_1"/>
      <sheetName val="US$_Real"/>
      <sheetName val="Global_Inputs"/>
      <sheetName val="單價分析表_2"/>
      <sheetName val="US$_Real1"/>
      <sheetName val="Global_Inputs1"/>
      <sheetName val="單價分析表_3"/>
      <sheetName val="US$_Real2"/>
      <sheetName val="Global_Inputs2"/>
      <sheetName val="單價分析表_4"/>
      <sheetName val="US$_Real3"/>
      <sheetName val="Global_Inputs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單筆調整 (減)"/>
      <sheetName val="SL (減)"/>
      <sheetName val="土地單價表"/>
      <sheetName val="SFI-透天_2.25"/>
      <sheetName val="LD_透天 _2.25"/>
      <sheetName val="SFI-全-加權"/>
      <sheetName val="LD_全-加權"/>
      <sheetName val="SFI-公寓_2.25"/>
      <sheetName val="LD_公寓 _2.25"/>
      <sheetName val="SFI-公寓-2.62"/>
      <sheetName val="LD_公寓_2.62"/>
      <sheetName val="SFI-全-2.25"/>
      <sheetName val="LD_全-2.25"/>
      <sheetName val="造價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15薪基84"/>
      <sheetName val="外埠人數 (2)"/>
      <sheetName val="外埠人數"/>
      <sheetName val="各階外15薪"/>
      <sheetName val="固定薪15"/>
      <sheetName val="外15薪85P"/>
      <sheetName val="外15薪基85"/>
      <sheetName val="life本部85"/>
      <sheetName val="life外埠85"/>
      <sheetName val="支援外埠"/>
      <sheetName val="Datatape"/>
      <sheetName val="代碼檔"/>
      <sheetName val="LD_全-2.25"/>
      <sheetName val="총괄표"/>
      <sheetName val="Sheet D-1"/>
      <sheetName val="Sheet D-3"/>
      <sheetName val="최초 (2)"/>
      <sheetName val="Physical"/>
      <sheetName val="단서적용"/>
      <sheetName val="Total_list"/>
      <sheetName val="단서적용요약"/>
      <sheetName val="土地"/>
      <sheetName val="Sheet1"/>
      <sheetName val="現地安置面積與應分配價值計算表"/>
      <sheetName val="獎勵容積"/>
      <sheetName val="Main"/>
      <sheetName val="違章處理結果"/>
      <sheetName val="報告內容"/>
      <sheetName val="土估表"/>
      <sheetName val="建估表"/>
      <sheetName val="團險職團人"/>
      <sheetName val="85預算"/>
      <sheetName val="List"/>
      <sheetName val="controls"/>
      <sheetName val="案例1建物-291"/>
      <sheetName val="案例1"/>
      <sheetName val="Collateral"/>
      <sheetName val="Rent Comp"/>
      <sheetName val="Sensitivities"/>
      <sheetName val="TornadoCharts"/>
      <sheetName val="US$ Real"/>
      <sheetName val="Value"/>
      <sheetName val="Global Inputs"/>
      <sheetName val="收金人件"/>
      <sheetName val="Datascreen"/>
      <sheetName val="Summary"/>
      <sheetName val="1土地鑑定表"/>
      <sheetName val="土地比較法(道路)"/>
      <sheetName val="menu"/>
      <sheetName val="摘要表"/>
      <sheetName val="分攤比例"/>
      <sheetName val="摘要"/>
      <sheetName val="ORIX-AMC範本-20051003"/>
      <sheetName val="開發內容假設"/>
      <sheetName val="公設明細"/>
      <sheetName val="SRC-B3U2"/>
      <sheetName val="Inputs"/>
      <sheetName val="外埠人數_(2)"/>
      <sheetName val="LD_全-2_25"/>
      <sheetName val="Sheet_D-1"/>
      <sheetName val="Sheet_D-3"/>
      <sheetName val="최초_(2)"/>
      <sheetName val="外埠人數_(2)1"/>
      <sheetName val="LD_全-2_251"/>
      <sheetName val="Sheet_D-11"/>
      <sheetName val="Sheet_D-31"/>
      <sheetName val="최초_(2)1"/>
      <sheetName val="Rent_Comp"/>
      <sheetName val="US$_Real"/>
      <sheetName val="Global_Inputs"/>
      <sheetName val="外埠人數_(2)2"/>
      <sheetName val="LD_全-2_252"/>
      <sheetName val="Sheet_D-12"/>
      <sheetName val="Sheet_D-32"/>
      <sheetName val="최초_(2)2"/>
      <sheetName val="Rent_Comp1"/>
      <sheetName val="US$_Real1"/>
      <sheetName val="Global_Inputs1"/>
      <sheetName val="參數"/>
      <sheetName val="LIFEDF85"/>
      <sheetName val="面積計算表H66A"/>
      <sheetName val="股東權益變動表 7100book-audi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Loan "/>
      <sheetName val="Income Approach"/>
      <sheetName val="Expense"/>
      <sheetName val="Monthly Cashflows"/>
      <sheetName val="Rent Assumption"/>
      <sheetName val="Assumptions"/>
      <sheetName val="Monthly Cashflows (2)"/>
      <sheetName val="Definition"/>
      <sheetName val="Sales Comp(Office)"/>
      <sheetName val="Office Comp compare"/>
      <sheetName val="Rent Comp (Office)"/>
      <sheetName val="Rent Comp(Retail)"/>
      <sheetName val="Rent Comp(Office) "/>
      <sheetName val="Rent Comp(Club) "/>
      <sheetName val="Sale Price (Office)"/>
      <sheetName val="Vacancy Rate"/>
      <sheetName val="Office Rental"/>
      <sheetName val="Stocks"/>
      <sheetName val="Main Area Map"/>
      <sheetName val="Annual Cashflows"/>
      <sheetName val="CostSchedule"/>
      <sheetName val="Inputs"/>
      <sheetName val="Rent Comp"/>
      <sheetName val="LD_全-2.25"/>
      <sheetName val="85預算"/>
      <sheetName val="Sensitivities"/>
      <sheetName val="TornadoCharts"/>
      <sheetName val="US$ Real"/>
      <sheetName val="Value"/>
      <sheetName val="Global Inputs"/>
      <sheetName val="報告內容"/>
      <sheetName val="土估表"/>
      <sheetName val="建估表"/>
      <sheetName val="AAS"/>
      <sheetName val="monthly-FYP"/>
      <sheetName val="9207物價指數"/>
      <sheetName val="Sheet1"/>
      <sheetName val="Datatape"/>
      <sheetName val="代碼檔"/>
      <sheetName val="A6"/>
      <sheetName val="Preliminary UW_10"/>
      <sheetName val="Loan_"/>
      <sheetName val="Income_Approach"/>
      <sheetName val="Monthly_Cashflows"/>
      <sheetName val="Rent_Assumption"/>
      <sheetName val="Monthly_Cashflows_(2)"/>
      <sheetName val="Sales_Comp(Office)"/>
      <sheetName val="Office_Comp_compare"/>
      <sheetName val="Rent_Comp_(Office)"/>
      <sheetName val="Rent_Comp(Retail)"/>
      <sheetName val="Rent_Comp(Office)_"/>
      <sheetName val="Rent_Comp(Club)_"/>
      <sheetName val="Sale_Price_(Office)"/>
      <sheetName val="Vacancy_Rate"/>
      <sheetName val="Office_Rental"/>
      <sheetName val="Main_Area_Map"/>
      <sheetName val="Annual_Cashflows"/>
      <sheetName val="Rent_Comp"/>
      <sheetName val="LD_全-2_25"/>
      <sheetName val="Loan_1"/>
      <sheetName val="Income_Approach1"/>
      <sheetName val="Monthly_Cashflows1"/>
      <sheetName val="Rent_Assumption1"/>
      <sheetName val="Monthly_Cashflows_(2)1"/>
      <sheetName val="Sales_Comp(Office)1"/>
      <sheetName val="Office_Comp_compare1"/>
      <sheetName val="Rent_Comp_(Office)1"/>
      <sheetName val="Rent_Comp(Retail)1"/>
      <sheetName val="Rent_Comp(Office)_1"/>
      <sheetName val="Rent_Comp(Club)_1"/>
      <sheetName val="Sale_Price_(Office)1"/>
      <sheetName val="Vacancy_Rate1"/>
      <sheetName val="Office_Rental1"/>
      <sheetName val="Main_Area_Map1"/>
      <sheetName val="Annual_Cashflows1"/>
      <sheetName val="Rent_Comp1"/>
      <sheetName val="LD_全-2_251"/>
      <sheetName val="US$_Real"/>
      <sheetName val="Global_Inputs"/>
      <sheetName val="Preliminary_UW_10"/>
    </sheetNames>
    <sheetDataSet>
      <sheetData sheetId="0">
        <row r="16">
          <cell r="D16">
            <v>61470</v>
          </cell>
        </row>
      </sheetData>
      <sheetData sheetId="1" refreshError="1"/>
      <sheetData sheetId="2"/>
      <sheetData sheetId="3">
        <row r="4">
          <cell r="B4">
            <v>304000000</v>
          </cell>
        </row>
        <row r="40">
          <cell r="B40">
            <v>344007633.39599997</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比較調整"/>
      <sheetName val="作業檢討"/>
      <sheetName val="列印報表"/>
      <sheetName val="計算檢核"/>
      <sheetName val="安全驗證"/>
      <sheetName val="調整項目"/>
      <sheetName val="更新整體開發收益表"/>
      <sheetName val="拆除計畫"/>
      <sheetName val="基礎資料與審議資料"/>
      <sheetName val="LD_全-2.25"/>
      <sheetName val="Collateral"/>
      <sheetName val="List"/>
      <sheetName val="SRC-B3U2"/>
      <sheetName val="9207物價指數"/>
      <sheetName val="合法拆補"/>
      <sheetName val="比較法估價(V1)"/>
      <sheetName val="現地安置面積與應分配價值計算表"/>
      <sheetName val="土地"/>
      <sheetName val="Sheet2"/>
      <sheetName val="Expense"/>
      <sheetName val="Summary"/>
      <sheetName val="建 物 鑑 定 表"/>
      <sheetName val="分攤比例"/>
      <sheetName val="報告內容"/>
      <sheetName val="土估表"/>
      <sheetName val="建估表"/>
      <sheetName val="重要資料不可刪"/>
      <sheetName val="函"/>
      <sheetName val="輸入"/>
      <sheetName val="Sheet1"/>
      <sheetName val="計算資料1"/>
      <sheetName val="COST1_3"/>
      <sheetName val="年0元"/>
      <sheetName val="代碼檔"/>
      <sheetName val="參數"/>
      <sheetName val="Income Tax Calc-9703"/>
      <sheetName val="開發內容假設"/>
      <sheetName val="建坪價格表"/>
      <sheetName val="比較法估價(V1).xls"/>
      <sheetName val="基本單價"/>
      <sheetName val="合建分配"/>
      <sheetName val="規劃方案"/>
      <sheetName val="面積計算表H48A"/>
      <sheetName val="LD_全-2_25"/>
      <sheetName val="建_物_鑑_定_表"/>
      <sheetName val="Income_Tax_Calc-9703"/>
      <sheetName val="比較法估價(V1)_xls"/>
      <sheetName val="LD_全-2_251"/>
      <sheetName val="建_物_鑑_定_表1"/>
      <sheetName val="Income_Tax_Calc-97031"/>
      <sheetName val="比較法估價(V1)_xls1"/>
      <sheetName val="摘要"/>
      <sheetName val="LD_全-2_252"/>
      <sheetName val="建_物_鑑_定_表2"/>
      <sheetName val="Income_Tax_Calc-97032"/>
      <sheetName val="比較法估價(V1)_xls2"/>
      <sheetName val="LD_全-2_253"/>
      <sheetName val="建_物_鑑_定_表3"/>
      <sheetName val="Income_Tax_Calc-97033"/>
      <sheetName val="比較法估價(V1)_xls3"/>
      <sheetName val="LD_全-2_254"/>
      <sheetName val="建_物_鑑_定_表4"/>
      <sheetName val="Income_Tax_Calc-97034"/>
      <sheetName val="比較法估價(V1)_xls4"/>
      <sheetName val="資料單"/>
      <sheetName val="土地增值稅"/>
      <sheetName val="股東權益變動表 7100book-audit"/>
      <sheetName val="不同组合模式分析"/>
      <sheetName val="スキャン"/>
      <sheetName val="面積計算表H66A"/>
      <sheetName val="ref"/>
      <sheetName val="IS-TNS"/>
      <sheetName val="利率(更新日尚未確定) "/>
      <sheetName val="2摘要簡表"/>
      <sheetName val="INPUTE"/>
      <sheetName val="%E6%AF%94%E8%BC%83%E6%B3%95%E4%"/>
      <sheetName val="Assumptions"/>
      <sheetName val="LD_全-2_255"/>
      <sheetName val="建_物_鑑_定_表5"/>
      <sheetName val="LD_全-2_257"/>
      <sheetName val="建_物_鑑_定_表7"/>
      <sheetName val="Income_Tax_Calc-97036"/>
      <sheetName val="比較法估價(V1)_xls6"/>
      <sheetName val="LD_全-2_256"/>
      <sheetName val="建_物_鑑_定_表6"/>
      <sheetName val="Income_Tax_Calc-97035"/>
      <sheetName val="比較法估價(V1)_xls5"/>
    </sheetNames>
    <sheetDataSet>
      <sheetData sheetId="0" refreshError="1"/>
      <sheetData sheetId="1" refreshError="1"/>
      <sheetData sheetId="2" refreshError="1"/>
      <sheetData sheetId="3" refreshError="1">
        <row r="15">
          <cell r="K15">
            <v>0</v>
          </cell>
          <cell r="P15">
            <v>0</v>
          </cell>
          <cell r="U15">
            <v>0</v>
          </cell>
        </row>
        <row r="16">
          <cell r="K16">
            <v>0</v>
          </cell>
          <cell r="P16">
            <v>0</v>
          </cell>
          <cell r="U16">
            <v>0</v>
          </cell>
        </row>
        <row r="17">
          <cell r="K17">
            <v>0</v>
          </cell>
          <cell r="P17">
            <v>0</v>
          </cell>
          <cell r="U17">
            <v>0</v>
          </cell>
        </row>
        <row r="18">
          <cell r="K18">
            <v>0</v>
          </cell>
          <cell r="P18">
            <v>0</v>
          </cell>
          <cell r="U18">
            <v>0</v>
          </cell>
        </row>
        <row r="19">
          <cell r="K19">
            <v>0</v>
          </cell>
          <cell r="P19">
            <v>0</v>
          </cell>
          <cell r="U19">
            <v>0</v>
          </cell>
        </row>
        <row r="20">
          <cell r="K20">
            <v>0</v>
          </cell>
          <cell r="P20">
            <v>0</v>
          </cell>
          <cell r="U20">
            <v>0</v>
          </cell>
        </row>
        <row r="21">
          <cell r="K21">
            <v>0</v>
          </cell>
          <cell r="P21">
            <v>0</v>
          </cell>
          <cell r="U21">
            <v>0</v>
          </cell>
        </row>
        <row r="22">
          <cell r="K22">
            <v>0</v>
          </cell>
          <cell r="P22">
            <v>0</v>
          </cell>
          <cell r="U22">
            <v>0</v>
          </cell>
        </row>
        <row r="23">
          <cell r="K23">
            <v>0</v>
          </cell>
          <cell r="P23">
            <v>0</v>
          </cell>
          <cell r="U23">
            <v>0</v>
          </cell>
        </row>
        <row r="24">
          <cell r="K24">
            <v>0</v>
          </cell>
          <cell r="P24">
            <v>0</v>
          </cell>
          <cell r="U24">
            <v>0</v>
          </cell>
        </row>
        <row r="25">
          <cell r="K25">
            <v>0</v>
          </cell>
          <cell r="P25">
            <v>0</v>
          </cell>
          <cell r="U25">
            <v>0</v>
          </cell>
        </row>
        <row r="26">
          <cell r="K26">
            <v>0</v>
          </cell>
          <cell r="P26">
            <v>0</v>
          </cell>
          <cell r="U26">
            <v>0</v>
          </cell>
        </row>
        <row r="27">
          <cell r="K27">
            <v>0</v>
          </cell>
          <cell r="P27">
            <v>0</v>
          </cell>
          <cell r="U27">
            <v>0</v>
          </cell>
        </row>
        <row r="28">
          <cell r="K28">
            <v>0</v>
          </cell>
          <cell r="P28">
            <v>0</v>
          </cell>
          <cell r="U28">
            <v>0</v>
          </cell>
        </row>
        <row r="29">
          <cell r="K29">
            <v>0</v>
          </cell>
          <cell r="P29">
            <v>0</v>
          </cell>
          <cell r="U29">
            <v>0</v>
          </cell>
        </row>
        <row r="30">
          <cell r="K30">
            <v>0</v>
          </cell>
          <cell r="P30">
            <v>0</v>
          </cell>
          <cell r="U30">
            <v>0</v>
          </cell>
        </row>
        <row r="31">
          <cell r="K31">
            <v>0</v>
          </cell>
          <cell r="P31">
            <v>0</v>
          </cell>
          <cell r="U31">
            <v>0</v>
          </cell>
        </row>
        <row r="32">
          <cell r="K32">
            <v>0</v>
          </cell>
          <cell r="P32">
            <v>0</v>
          </cell>
          <cell r="U32">
            <v>0</v>
          </cell>
        </row>
        <row r="33">
          <cell r="K33">
            <v>0</v>
          </cell>
          <cell r="P33">
            <v>0</v>
          </cell>
          <cell r="U33">
            <v>0</v>
          </cell>
        </row>
        <row r="34">
          <cell r="K34">
            <v>0</v>
          </cell>
          <cell r="P34">
            <v>0</v>
          </cell>
          <cell r="U34">
            <v>0</v>
          </cell>
        </row>
        <row r="35">
          <cell r="K35">
            <v>0</v>
          </cell>
          <cell r="P35">
            <v>0</v>
          </cell>
          <cell r="U35">
            <v>0</v>
          </cell>
        </row>
        <row r="36">
          <cell r="K36">
            <v>0</v>
          </cell>
          <cell r="P36">
            <v>0</v>
          </cell>
          <cell r="U36">
            <v>0</v>
          </cell>
        </row>
        <row r="37">
          <cell r="K37">
            <v>0</v>
          </cell>
          <cell r="P37">
            <v>0</v>
          </cell>
          <cell r="U37">
            <v>0</v>
          </cell>
        </row>
        <row r="38">
          <cell r="K38">
            <v>0</v>
          </cell>
          <cell r="P38">
            <v>0</v>
          </cell>
          <cell r="U38">
            <v>0</v>
          </cell>
        </row>
        <row r="39">
          <cell r="K39">
            <v>0</v>
          </cell>
          <cell r="P39">
            <v>0</v>
          </cell>
          <cell r="U39">
            <v>0</v>
          </cell>
        </row>
        <row r="40">
          <cell r="K40">
            <v>0</v>
          </cell>
          <cell r="P40">
            <v>0</v>
          </cell>
          <cell r="U40">
            <v>0</v>
          </cell>
        </row>
        <row r="41">
          <cell r="K41">
            <v>0</v>
          </cell>
          <cell r="P41">
            <v>0</v>
          </cell>
          <cell r="U41">
            <v>0</v>
          </cell>
        </row>
        <row r="42">
          <cell r="K42">
            <v>0</v>
          </cell>
          <cell r="P42">
            <v>0</v>
          </cell>
          <cell r="U42">
            <v>0</v>
          </cell>
        </row>
        <row r="43">
          <cell r="K43">
            <v>0</v>
          </cell>
          <cell r="P43">
            <v>0</v>
          </cell>
          <cell r="U43">
            <v>0</v>
          </cell>
        </row>
        <row r="44">
          <cell r="K44">
            <v>0</v>
          </cell>
          <cell r="P44">
            <v>0</v>
          </cell>
          <cell r="U44">
            <v>0</v>
          </cell>
        </row>
        <row r="45">
          <cell r="K45">
            <v>0</v>
          </cell>
          <cell r="P45">
            <v>-2.5000000000000001E-2</v>
          </cell>
          <cell r="U45">
            <v>0</v>
          </cell>
        </row>
        <row r="46">
          <cell r="K46">
            <v>0</v>
          </cell>
          <cell r="P46">
            <v>0</v>
          </cell>
          <cell r="U46">
            <v>0</v>
          </cell>
        </row>
        <row r="47">
          <cell r="K47">
            <v>0</v>
          </cell>
          <cell r="P47">
            <v>0</v>
          </cell>
          <cell r="U47">
            <v>0</v>
          </cell>
        </row>
        <row r="48">
          <cell r="K48">
            <v>0</v>
          </cell>
          <cell r="P48">
            <v>0</v>
          </cell>
          <cell r="U48">
            <v>0</v>
          </cell>
        </row>
        <row r="49">
          <cell r="K49">
            <v>0</v>
          </cell>
          <cell r="P49">
            <v>0</v>
          </cell>
          <cell r="U49">
            <v>0</v>
          </cell>
        </row>
        <row r="50">
          <cell r="K50">
            <v>0</v>
          </cell>
          <cell r="P50">
            <v>-2.5000000000000001E-2</v>
          </cell>
          <cell r="U50">
            <v>0</v>
          </cell>
        </row>
        <row r="51">
          <cell r="K51">
            <v>0</v>
          </cell>
          <cell r="P51">
            <v>0</v>
          </cell>
          <cell r="U51">
            <v>0</v>
          </cell>
        </row>
        <row r="52">
          <cell r="K52">
            <v>0</v>
          </cell>
          <cell r="P52">
            <v>0</v>
          </cell>
          <cell r="U52">
            <v>-1.4999999999999999E-2</v>
          </cell>
        </row>
        <row r="53">
          <cell r="K53">
            <v>0</v>
          </cell>
          <cell r="P53">
            <v>0</v>
          </cell>
          <cell r="U53">
            <v>0</v>
          </cell>
        </row>
        <row r="54">
          <cell r="K54">
            <v>-1.2500000000000001E-2</v>
          </cell>
          <cell r="P54">
            <v>0</v>
          </cell>
          <cell r="U54">
            <v>-1.2500000000000001E-2</v>
          </cell>
        </row>
        <row r="55">
          <cell r="K55">
            <v>0</v>
          </cell>
          <cell r="P55">
            <v>0</v>
          </cell>
          <cell r="U55">
            <v>0</v>
          </cell>
        </row>
        <row r="56">
          <cell r="K56">
            <v>0</v>
          </cell>
          <cell r="P56">
            <v>0</v>
          </cell>
          <cell r="U56">
            <v>0</v>
          </cell>
        </row>
        <row r="57">
          <cell r="K57">
            <v>0</v>
          </cell>
          <cell r="P57">
            <v>1.4999999999999999E-2</v>
          </cell>
          <cell r="U57">
            <v>0</v>
          </cell>
        </row>
        <row r="58">
          <cell r="K58">
            <v>-5.0000000000000001E-3</v>
          </cell>
          <cell r="P58">
            <v>-2.5000000000000001E-3</v>
          </cell>
          <cell r="U58">
            <v>0</v>
          </cell>
        </row>
        <row r="59">
          <cell r="K59">
            <v>0</v>
          </cell>
          <cell r="P59">
            <v>0</v>
          </cell>
          <cell r="U59">
            <v>0</v>
          </cell>
        </row>
        <row r="60">
          <cell r="K60">
            <v>-1.7500000000000002E-2</v>
          </cell>
          <cell r="P60">
            <v>1.2499999999999999E-2</v>
          </cell>
          <cell r="U60">
            <v>-2.75E-2</v>
          </cell>
        </row>
        <row r="61">
          <cell r="K61">
            <v>0</v>
          </cell>
          <cell r="P61">
            <v>0</v>
          </cell>
          <cell r="U61">
            <v>0</v>
          </cell>
        </row>
        <row r="62">
          <cell r="K62">
            <v>0</v>
          </cell>
          <cell r="P62">
            <v>0</v>
          </cell>
          <cell r="U62">
            <v>0</v>
          </cell>
        </row>
        <row r="63">
          <cell r="K63">
            <v>0</v>
          </cell>
          <cell r="P63">
            <v>0</v>
          </cell>
          <cell r="U63">
            <v>0</v>
          </cell>
        </row>
        <row r="64">
          <cell r="K64">
            <v>-2.5000000000000001E-2</v>
          </cell>
          <cell r="P64">
            <v>-2.5000000000000001E-2</v>
          </cell>
          <cell r="U64">
            <v>0</v>
          </cell>
        </row>
        <row r="65">
          <cell r="K65">
            <v>1.4999999999999999E-2</v>
          </cell>
          <cell r="P65">
            <v>1.4999999999999999E-2</v>
          </cell>
          <cell r="U65">
            <v>0</v>
          </cell>
        </row>
        <row r="66">
          <cell r="K66">
            <v>0</v>
          </cell>
          <cell r="P66">
            <v>0</v>
          </cell>
          <cell r="U66">
            <v>0</v>
          </cell>
        </row>
        <row r="67">
          <cell r="K67">
            <v>-1.0000000000000002E-2</v>
          </cell>
          <cell r="P67">
            <v>-1.0000000000000002E-2</v>
          </cell>
          <cell r="U67">
            <v>0</v>
          </cell>
        </row>
        <row r="68">
          <cell r="K68">
            <v>0</v>
          </cell>
          <cell r="P68">
            <v>-2.5000000000000001E-2</v>
          </cell>
          <cell r="U68">
            <v>-2.5000000000000001E-2</v>
          </cell>
        </row>
        <row r="69">
          <cell r="K69">
            <v>0.02</v>
          </cell>
          <cell r="P69">
            <v>0</v>
          </cell>
          <cell r="U69">
            <v>0</v>
          </cell>
        </row>
        <row r="70">
          <cell r="K70">
            <v>0</v>
          </cell>
          <cell r="P70">
            <v>-0.05</v>
          </cell>
          <cell r="U70">
            <v>-0.05</v>
          </cell>
        </row>
        <row r="71">
          <cell r="K71">
            <v>0</v>
          </cell>
          <cell r="P71">
            <v>-1.4999999999999999E-2</v>
          </cell>
          <cell r="U71">
            <v>-1.4999999999999999E-2</v>
          </cell>
        </row>
        <row r="72">
          <cell r="K72">
            <v>0</v>
          </cell>
          <cell r="P72">
            <v>0.01</v>
          </cell>
          <cell r="U72">
            <v>0.01</v>
          </cell>
        </row>
        <row r="73">
          <cell r="K73">
            <v>0</v>
          </cell>
          <cell r="P73">
            <v>0</v>
          </cell>
          <cell r="U73">
            <v>0</v>
          </cell>
        </row>
        <row r="74">
          <cell r="K74">
            <v>0.02</v>
          </cell>
          <cell r="P74">
            <v>-8.0000000000000016E-2</v>
          </cell>
          <cell r="U74">
            <v>-8.0000000000000016E-2</v>
          </cell>
        </row>
        <row r="75">
          <cell r="K75">
            <v>0</v>
          </cell>
          <cell r="P75">
            <v>7.4999999999999997E-3</v>
          </cell>
          <cell r="U75">
            <v>1.4999999999999999E-2</v>
          </cell>
        </row>
        <row r="76">
          <cell r="K76">
            <v>0</v>
          </cell>
          <cell r="P76">
            <v>0</v>
          </cell>
          <cell r="U76">
            <v>0</v>
          </cell>
        </row>
        <row r="77">
          <cell r="K77">
            <v>0</v>
          </cell>
          <cell r="P77">
            <v>-2.5000000000000001E-2</v>
          </cell>
          <cell r="U77">
            <v>-2.5000000000000001E-2</v>
          </cell>
        </row>
        <row r="78">
          <cell r="K78">
            <v>0</v>
          </cell>
          <cell r="P78">
            <v>0</v>
          </cell>
          <cell r="U78">
            <v>-1.4999999999999999E-2</v>
          </cell>
        </row>
        <row r="79">
          <cell r="K79">
            <v>0</v>
          </cell>
          <cell r="P79">
            <v>0</v>
          </cell>
          <cell r="U79">
            <v>0</v>
          </cell>
        </row>
        <row r="80">
          <cell r="K80">
            <v>0</v>
          </cell>
          <cell r="P80">
            <v>0</v>
          </cell>
          <cell r="U80">
            <v>2.5000000000000001E-2</v>
          </cell>
        </row>
        <row r="81">
          <cell r="K81">
            <v>0</v>
          </cell>
          <cell r="P81">
            <v>0</v>
          </cell>
          <cell r="U81">
            <v>0</v>
          </cell>
        </row>
        <row r="82">
          <cell r="K82">
            <v>0</v>
          </cell>
          <cell r="P82">
            <v>0</v>
          </cell>
          <cell r="U82">
            <v>0</v>
          </cell>
        </row>
        <row r="83">
          <cell r="K83">
            <v>0</v>
          </cell>
          <cell r="P83">
            <v>0</v>
          </cell>
          <cell r="U83">
            <v>0</v>
          </cell>
        </row>
        <row r="84">
          <cell r="K84">
            <v>0</v>
          </cell>
          <cell r="P84">
            <v>0.06</v>
          </cell>
          <cell r="U84">
            <v>4.4999999999999998E-2</v>
          </cell>
        </row>
        <row r="85">
          <cell r="K85">
            <v>7.4999999999999997E-3</v>
          </cell>
          <cell r="P85">
            <v>0</v>
          </cell>
          <cell r="U85">
            <v>7.4999999999999997E-3</v>
          </cell>
        </row>
        <row r="86">
          <cell r="K86">
            <v>0</v>
          </cell>
          <cell r="P86">
            <v>0</v>
          </cell>
          <cell r="U86">
            <v>0</v>
          </cell>
        </row>
        <row r="87">
          <cell r="K87">
            <v>0</v>
          </cell>
          <cell r="P87">
            <v>0</v>
          </cell>
          <cell r="U87">
            <v>0</v>
          </cell>
        </row>
        <row r="88">
          <cell r="K88">
            <v>7.4999999999999997E-3</v>
          </cell>
          <cell r="P88">
            <v>4.2499999999999996E-2</v>
          </cell>
          <cell r="U88">
            <v>5.2499999999999998E-2</v>
          </cell>
        </row>
        <row r="89">
          <cell r="K89">
            <v>-3.4694469519536142E-18</v>
          </cell>
          <cell r="P89">
            <v>-6.0000000000000026E-2</v>
          </cell>
          <cell r="U89">
            <v>-5.5000000000000014E-2</v>
          </cell>
        </row>
        <row r="90">
          <cell r="G90">
            <v>1</v>
          </cell>
          <cell r="L90">
            <v>0.94</v>
          </cell>
          <cell r="Q90">
            <v>0.94499999999999995</v>
          </cell>
        </row>
        <row r="91">
          <cell r="G91">
            <v>2450216</v>
          </cell>
          <cell r="L91">
            <v>2016560.38</v>
          </cell>
          <cell r="Q91">
            <v>2089407.2849999999</v>
          </cell>
        </row>
        <row r="92">
          <cell r="G92">
            <v>8.4999999999999992E-2</v>
          </cell>
          <cell r="L92">
            <v>0.27500000000000002</v>
          </cell>
          <cell r="Q92">
            <v>0.26</v>
          </cell>
        </row>
        <row r="94">
          <cell r="D94">
            <v>2196264.4939166666</v>
          </cell>
          <cell r="Q94">
            <v>434099364.14835781</v>
          </cell>
        </row>
      </sheetData>
      <sheetData sheetId="4" refreshError="1">
        <row r="10">
          <cell r="IC10" t="str">
            <v>試用版軟體</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 Area"/>
      <sheetName val="Assumptions"/>
      <sheetName val="5 year Income Statement"/>
      <sheetName val="Cashflow_Analysis 5yr"/>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ct"/>
      <sheetName val="Cover"/>
      <sheetName val="Price_Various App分戶或分筆計算表"/>
      <sheetName val="Summary"/>
      <sheetName val="Mortgage Info"/>
      <sheetName val="Com_1F 地面層"/>
      <sheetName val="Com_above 1F 地上層"/>
      <sheetName val="Income Approach_收益法"/>
      <sheetName val="Com_presale預售"/>
      <sheetName val="Redevelopment (APT 公寓;大樓)"/>
      <sheetName val="Redevelopment (TH 透天)"/>
      <sheetName val="Cost_App_成本法"/>
      <sheetName val="Title Search -- Land&amp;LVIT"/>
      <sheetName val="Title Search_Building"/>
      <sheetName val="地籍略圖"/>
      <sheetName val="Map "/>
      <sheetName val="Pictures"/>
      <sheetName val="One_Page_RPT(Don't changePrint)"/>
      <sheetName val="備註"/>
    </sheetNames>
    <sheetDataSet>
      <sheetData sheetId="0" refreshError="1"/>
      <sheetData sheetId="1"/>
      <sheetData sheetId="2"/>
      <sheetData sheetId="3">
        <row r="1">
          <cell r="H1">
            <v>38380</v>
          </cell>
        </row>
      </sheetData>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Name val="List"/>
      <sheetName val="Summ."/>
      <sheetName val="S.A. (1)"/>
      <sheetName val="S.A. (2)"/>
      <sheetName val="I.A."/>
      <sheetName val="D.A."/>
      <sheetName val="Area Map"/>
      <sheetName val="Location"/>
      <sheetName val="Photo"/>
      <sheetName val="計算檢核"/>
      <sheetName val="安全驗證"/>
      <sheetName val="Summary"/>
      <sheetName val="摘要"/>
      <sheetName val="Sheet1"/>
      <sheetName val="ASSIST"/>
      <sheetName val="9207物價指數"/>
      <sheetName val="違章處理結果"/>
      <sheetName val="土地"/>
      <sheetName val="Datascreen"/>
      <sheetName val="開發內容假設"/>
      <sheetName val="合法拆補"/>
      <sheetName val="拆除計畫"/>
      <sheetName val="代碼檔"/>
      <sheetName val="85預算"/>
      <sheetName val="COST1_3"/>
      <sheetName val="Appendix Encumbrances"/>
      <sheetName val="LD_全-2.25"/>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 Comp"/>
      <sheetName val="Sales Comparison App"/>
      <sheetName val="Rent Comp"/>
      <sheetName val="外15薪基84"/>
      <sheetName val="Inputs"/>
      <sheetName val="Expense"/>
      <sheetName val="Summary"/>
      <sheetName val="Collateral"/>
      <sheetName val="85預算"/>
      <sheetName val="Assumptions"/>
      <sheetName val="List"/>
      <sheetName val="鋼筋號數表"/>
      <sheetName val="面積計算表H48A"/>
      <sheetName val="現地安置面積與應分配價值計算表"/>
      <sheetName val="LD_全-2.25"/>
      <sheetName val="面積計算表H66A"/>
      <sheetName val="9207物價指數"/>
      <sheetName val="報告內容"/>
      <sheetName val="土估表"/>
      <sheetName val="建估表"/>
      <sheetName val="Sensitivities"/>
      <sheetName val="TornadoCharts"/>
      <sheetName val="US$ Real"/>
      <sheetName val="Value"/>
      <sheetName val="Global Inputs"/>
      <sheetName val="SRC-B3U2"/>
      <sheetName val="Sheet1"/>
      <sheetName val="#REF"/>
      <sheetName val="DB_Jul"/>
      <sheetName val="Chart_Jul"/>
      <sheetName val="Cap_Comp"/>
      <sheetName val="Sales_Comparison_App"/>
      <sheetName val="Rent_Comp"/>
      <sheetName val="資料庫"/>
      <sheetName val="Cap_Comp1"/>
      <sheetName val="Sales_Comparison_App1"/>
      <sheetName val="Rent_Comp1"/>
      <sheetName val="US$_Real"/>
      <sheetName val="Global_Inputs"/>
      <sheetName val="LD_全-2_25"/>
    </sheetNames>
    <sheetDataSet>
      <sheetData sheetId="0"/>
      <sheetData sheetId="1"/>
      <sheetData sheetId="2">
        <row r="21">
          <cell r="B21">
            <v>0.5</v>
          </cell>
        </row>
        <row r="22">
          <cell r="B22">
            <v>1</v>
          </cell>
        </row>
        <row r="23">
          <cell r="B23">
            <v>0.8</v>
          </cell>
        </row>
        <row r="24">
          <cell r="B24">
            <v>0.65</v>
          </cell>
        </row>
        <row r="25">
          <cell r="B25">
            <v>0.5</v>
          </cell>
        </row>
        <row r="26">
          <cell r="B26">
            <v>0.3</v>
          </cell>
        </row>
        <row r="27">
          <cell r="B27">
            <v>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15薪基84"/>
      <sheetName val="外埠人數 (2)"/>
      <sheetName val="外埠人數"/>
      <sheetName val="各階外15薪"/>
      <sheetName val="固定薪15"/>
      <sheetName val="外15薪85P"/>
      <sheetName val="外15薪基85"/>
      <sheetName val="life本部85"/>
      <sheetName val="life外埠85"/>
      <sheetName val="支援外埠"/>
      <sheetName val="團險職團人"/>
      <sheetName val="85預算"/>
      <sheetName val="List"/>
      <sheetName val="controls"/>
      <sheetName val="LD_全-2.25"/>
      <sheetName val="Sensitivities"/>
      <sheetName val="TornadoCharts"/>
      <sheetName val="US$ Real"/>
      <sheetName val="Value"/>
      <sheetName val="Global Input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 val="prperty list"/>
      <sheetName val="Comps_Auctioned"/>
      <sheetName val="Rent comp_App"/>
      <sheetName val="Comps_Rent"/>
      <sheetName val="Price_Various App分戶或分筆計算表"/>
      <sheetName val="Title Search -- Land&amp;LVIT"/>
      <sheetName val="Title Search_Building"/>
      <sheetName val="Cover"/>
      <sheetName val="List"/>
      <sheetName val="開發內容"/>
      <sheetName val="土地同意比例(951004)"/>
      <sheetName val="外15薪基8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rice_Various App分戶或分筆計算表 "/>
      <sheetName val="Summary"/>
      <sheetName val="Comparable"/>
      <sheetName val="Cost_App_成本法"/>
      <sheetName val="Title Search -- Land&amp;LVIT"/>
      <sheetName val="Title Search_Building"/>
      <sheetName val="Map"/>
      <sheetName val="Pictures"/>
      <sheetName val="Collateral"/>
      <sheetName val="List"/>
      <sheetName val="COST1_3"/>
      <sheetName val="control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V LTC DSC"/>
      <sheetName val="Returns Analysis"/>
      <sheetName val="Sales Comp"/>
      <sheetName val="Price Elaticity"/>
      <sheetName val="LTV Calculation"/>
      <sheetName val="Monthly CF"/>
      <sheetName val="Phase 1"/>
      <sheetName val="ROEC"/>
      <sheetName val="Lending"/>
      <sheetName val="REIG"/>
      <sheetName val="Loan Grid"/>
      <sheetName val="Input"/>
      <sheetName val="Cash Flow"/>
      <sheetName val="外15薪基84"/>
      <sheetName val="Summary"/>
      <sheetName val="Rent Comp"/>
      <sheetName val="更新整體開發收益表"/>
      <sheetName val="拆除計畫"/>
      <sheetName val="基礎資料與審議資料"/>
      <sheetName val="Assumptions"/>
      <sheetName val="List"/>
      <sheetName val="Cashflow"/>
      <sheetName val="Sensitivities"/>
      <sheetName val="TornadoCharts"/>
      <sheetName val="US$ Real"/>
      <sheetName val="Value"/>
      <sheetName val="Global Inputs"/>
      <sheetName val="INFO"/>
      <sheetName val="9208Q"/>
      <sheetName val="DATA"/>
      <sheetName val="PA-FYP"/>
      <sheetName val="LAST"/>
      <sheetName val="土地增值稅"/>
      <sheetName val="Register"/>
      <sheetName val="CostSchedule"/>
      <sheetName val="不同组合模式分析"/>
      <sheetName val="Sheet1"/>
      <sheetName val="Sheet2"/>
      <sheetName val="年0元"/>
      <sheetName val="Sheet3"/>
      <sheetName val="Sheet4"/>
      <sheetName val="Mapping_Table"/>
      <sheetName val="Expense"/>
      <sheetName val="85預算"/>
      <sheetName val="報告內容"/>
      <sheetName val="土估表"/>
      <sheetName val="建估表"/>
      <sheetName val="Inputs"/>
      <sheetName val="土地"/>
      <sheetName val="for toppan"/>
      <sheetName val="LTV_LTC_DSC"/>
      <sheetName val="Returns_Analysis"/>
      <sheetName val="Sales_Comp"/>
      <sheetName val="Price_Elaticity"/>
      <sheetName val="LTV_Calculation"/>
      <sheetName val="Monthly_CF"/>
      <sheetName val="Phase_1"/>
      <sheetName val="Loan_Grid"/>
      <sheetName val="Cash_Flow"/>
      <sheetName val="LTV_LTC_DSC1"/>
      <sheetName val="Returns_Analysis1"/>
      <sheetName val="Sales_Comp1"/>
      <sheetName val="Price_Elaticity1"/>
      <sheetName val="LTV_Calculation1"/>
      <sheetName val="Monthly_CF1"/>
      <sheetName val="Phase_11"/>
      <sheetName val="Loan_Grid1"/>
      <sheetName val="Cash_Flow1"/>
      <sheetName val="Rent_Comp"/>
      <sheetName val="US$_Real"/>
      <sheetName val="Global_Inputs"/>
      <sheetName val="for_toppan"/>
      <sheetName val="MP"/>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地增值稅"/>
      <sheetName val="更新前價值"/>
      <sheetName val="更新後價值表"/>
      <sheetName val="Sheet1"/>
      <sheetName val="車位分配"/>
      <sheetName val="Summary"/>
      <sheetName val="LD_全-2.25"/>
      <sheetName val="分攤比例"/>
      <sheetName val="Collateral"/>
      <sheetName val="開發內容假設"/>
      <sheetName val="外15薪基84"/>
      <sheetName val="LTV Calculation"/>
      <sheetName val="ORIX-AMC範本-20051003"/>
      <sheetName val="公設明細"/>
      <sheetName val="List"/>
      <sheetName val="Rent Comp"/>
      <sheetName val="Cashflow"/>
      <sheetName val="#REF"/>
      <sheetName val="面積計算表H48A"/>
      <sheetName val="MP"/>
      <sheetName val="報告內容"/>
      <sheetName val="土估表"/>
      <sheetName val="建估表"/>
      <sheetName val="輸入"/>
      <sheetName val="Expense"/>
      <sheetName val="現金流量表(列印)"/>
      <sheetName val="現金流量表(工作底稿列印)"/>
      <sheetName val="損益表(列印)"/>
      <sheetName val="股東權益變動表(列印)"/>
      <sheetName val="資產負債表(列印)"/>
      <sheetName val="土地鑑定表"/>
      <sheetName val="Mapping_Table"/>
      <sheetName val="建 物 鑑 定 表"/>
      <sheetName val="Cash Flow"/>
      <sheetName val="CostSchedule"/>
      <sheetName val="Sensitivities"/>
      <sheetName val="TornadoCharts"/>
      <sheetName val="US$ Real"/>
      <sheetName val="Value"/>
      <sheetName val="Global Inputs"/>
      <sheetName val="工作表1"/>
      <sheetName val="LD_全-2_25"/>
      <sheetName val="LTV_Calculation"/>
      <sheetName val="Rent_Comp"/>
      <sheetName val="土地"/>
      <sheetName val="Appendix Encumbrances"/>
      <sheetName val="INFO"/>
      <sheetName val="LD_全-2_251"/>
      <sheetName val="LTV_Calculation1"/>
      <sheetName val="Rent_Comp1"/>
      <sheetName val="建_物_鑑_定_表"/>
      <sheetName val="Cash_Flow"/>
      <sheetName val="Appendix_Encumbrances"/>
      <sheetName val="US$_Real"/>
      <sheetName val="Global_Inputs"/>
      <sheetName val="標準成本 (2)"/>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ateral"/>
      <sheetName val="prperty list"/>
      <sheetName val="Comps_Auctioned"/>
      <sheetName val="Rent comp_App"/>
      <sheetName val="Comps_Rent"/>
      <sheetName val="Cover"/>
      <sheetName val="增值稅計算表"/>
      <sheetName val="Data Extract"/>
      <sheetName val="Summary"/>
      <sheetName val="Comparable"/>
      <sheetName val="Bldg&amp;Land Title Search+LVIT"/>
      <sheetName val="Map"/>
      <sheetName val="Location"/>
      <sheetName val="Pictures"/>
      <sheetName val="LVIT"/>
      <sheetName val="土地增值稅"/>
      <sheetName val="Codes"/>
      <sheetName val="LTV Calculation"/>
      <sheetName val="menu"/>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Spread Data"/>
      <sheetName val="Export"/>
      <sheetName val="Exit Strategy"/>
      <sheetName val="Profile"/>
      <sheetName val="Borrowers Sum"/>
      <sheetName val="PriceAlloc."/>
      <sheetName val="Total Portfolio CFG"/>
      <sheetName val="Blank CFG"/>
      <sheetName val="BGN"/>
      <sheetName val="A04"/>
      <sheetName val="A01"/>
      <sheetName val="A03"/>
      <sheetName val="A30"/>
      <sheetName val="A11"/>
      <sheetName val="A02"/>
      <sheetName val="A13"/>
      <sheetName val="A27"/>
      <sheetName val="A05"/>
      <sheetName val="A07"/>
      <sheetName val="A06"/>
      <sheetName val="A12"/>
      <sheetName val="A21"/>
      <sheetName val="A23"/>
      <sheetName val="A10"/>
      <sheetName val="A28"/>
      <sheetName val="A09"/>
      <sheetName val="A19"/>
      <sheetName val="A16"/>
      <sheetName val="A20"/>
      <sheetName val="A26"/>
      <sheetName val="A14"/>
      <sheetName val="B07"/>
      <sheetName val="B09"/>
      <sheetName val="A18"/>
      <sheetName val="A25"/>
      <sheetName val="B08"/>
      <sheetName val="B01"/>
      <sheetName val="B19"/>
      <sheetName val="B03"/>
      <sheetName val="A15"/>
      <sheetName val="B13"/>
      <sheetName val="B04"/>
      <sheetName val="A17"/>
      <sheetName val="B14"/>
      <sheetName val="B11"/>
      <sheetName val="A22"/>
      <sheetName val="B16"/>
      <sheetName val="A29"/>
      <sheetName val="B02"/>
      <sheetName val="B05"/>
      <sheetName val="B06"/>
      <sheetName val="B10"/>
      <sheetName val="B17"/>
      <sheetName val="B15"/>
      <sheetName val="B18"/>
      <sheetName val="B12"/>
      <sheetName val="A24"/>
      <sheetName val="A08"/>
      <sheetName val="END"/>
      <sheetName val="A01 (2)"/>
      <sheetName val="Sheet D-3"/>
      <sheetName val="최초 (2)"/>
      <sheetName val="단서적용"/>
      <sheetName val="총괄표"/>
      <sheetName val="Physical"/>
      <sheetName val="단서적용요약"/>
      <sheetName val="Summary"/>
      <sheetName val="Sheet D-1"/>
      <sheetName val="Total_list"/>
      <sheetName val="Collateral"/>
      <sheetName val="LTV Calculation"/>
      <sheetName val="土地增值稅"/>
      <sheetName val="外15薪基84"/>
      <sheetName val="Index"/>
      <sheetName val="85預算"/>
      <sheetName val="LD_全-2.25"/>
      <sheetName val="報告內容"/>
      <sheetName val="土估表"/>
      <sheetName val="建估表"/>
      <sheetName val="Spread_Data"/>
      <sheetName val="Exit_Strategy"/>
      <sheetName val="Borrowers_Sum"/>
      <sheetName val="PriceAlloc_"/>
      <sheetName val="Total_Portfolio_CFG"/>
      <sheetName val="Blank_CFG"/>
      <sheetName val="A01_(2)"/>
      <sheetName val="Sheet_D-1"/>
      <sheetName val="Sheet_D-3"/>
      <sheetName val="최초_(2)"/>
      <sheetName val="LTV_Calculation"/>
      <sheetName val="LD_全-2_25"/>
      <sheetName val="Spread_Data1"/>
      <sheetName val="Exit_Strategy1"/>
      <sheetName val="Borrowers_Sum1"/>
      <sheetName val="PriceAlloc_1"/>
      <sheetName val="Total_Portfolio_CFG1"/>
      <sheetName val="Blank_CFG1"/>
      <sheetName val="A01_(2)1"/>
      <sheetName val="Sheet_D-11"/>
      <sheetName val="Sheet_D-31"/>
      <sheetName val="최초_(2)1"/>
      <sheetName val="LTV_Calculation1"/>
      <sheetName val="LD_全-2_251"/>
      <sheetName val="1830"/>
      <sheetName val="???"/>
      <sheetName val="control"/>
      <sheetName val="房地銷售明細"/>
      <sheetName val="Spread_Data2"/>
      <sheetName val="Exit_Strategy2"/>
      <sheetName val="Borrowers_Sum2"/>
      <sheetName val="PriceAlloc_2"/>
      <sheetName val="Total_Portfolio_CFG2"/>
      <sheetName val="Blank_CFG2"/>
      <sheetName val="A01_(2)2"/>
      <sheetName val="Sheet_D-32"/>
      <sheetName val="최초_(2)2"/>
      <sheetName val="Sheet_D-12"/>
      <sheetName val="LTV_Calculation2"/>
      <sheetName val="LD_全-2_252"/>
      <sheetName val="Spread_Data3"/>
      <sheetName val="Exit_Strategy3"/>
      <sheetName val="Borrowers_Sum3"/>
      <sheetName val="PriceAlloc_3"/>
      <sheetName val="Total_Portfolio_CFG3"/>
      <sheetName val="Blank_CFG3"/>
      <sheetName val="A01_(2)3"/>
      <sheetName val="Sheet_D-13"/>
      <sheetName val="Sheet_D-33"/>
      <sheetName val="최초_(2)3"/>
      <sheetName val="LTV_Calculation3"/>
      <sheetName val="LD_全-2_253"/>
      <sheetName val="Spread_Data4"/>
      <sheetName val="Exit_Strategy4"/>
      <sheetName val="Borrowers_Sum4"/>
      <sheetName val="PriceAlloc_4"/>
      <sheetName val="Total_Portfolio_CFG4"/>
      <sheetName val="Blank_CFG4"/>
      <sheetName val="A01_(2)4"/>
      <sheetName val="Sheet_D-14"/>
      <sheetName val="Sheet_D-34"/>
      <sheetName val="최초_(2)4"/>
      <sheetName val="LTV_Calculation4"/>
      <sheetName val="LD_全-2_254"/>
      <sheetName val="Spread_Data5"/>
      <sheetName val="Exit_Strategy5"/>
      <sheetName val="Borrowers_Sum5"/>
      <sheetName val="PriceAlloc_5"/>
      <sheetName val="Total_Portfolio_CFG5"/>
      <sheetName val="Blank_CFG5"/>
      <sheetName val="A01_(2)5"/>
      <sheetName val="Sheet_D-35"/>
      <sheetName val="최초_(2)5"/>
      <sheetName val="Sheet_D-15"/>
      <sheetName val="LTV_Calculation5"/>
    </sheetNames>
    <sheetDataSet>
      <sheetData sheetId="0" refreshError="1">
        <row r="9">
          <cell r="E9" t="str">
            <v>NT$</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土 地 增 值 稅 表(中國人壽名下)"/>
      <sheetName val="Sheet7"/>
      <sheetName val="Sheet8"/>
      <sheetName val="Sheet9"/>
      <sheetName val="Sheet10"/>
      <sheetName val="Sheet11"/>
      <sheetName val="Sheet12"/>
      <sheetName val="Sheet13"/>
      <sheetName val="Sheet14"/>
      <sheetName val="Sheet15"/>
      <sheetName val="Sheet16"/>
      <sheetName val="controls"/>
      <sheetName val="Collateral"/>
      <sheetName val="LD_全-2.25"/>
      <sheetName val="分攤比例"/>
      <sheetName val="85預算"/>
      <sheetName val="土地增值稅"/>
      <sheetName val="9207物價指數"/>
    </sheetNames>
    <sheetDataSet>
      <sheetData sheetId="0">
        <row r="5">
          <cell r="G5">
            <v>5165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Inputs Detail"/>
      <sheetName val="Other Calc"/>
      <sheetName val="FA Calc"/>
      <sheetName val="Tax Calc"/>
      <sheetName val="Valuation"/>
      <sheetName val="FinStats"/>
      <sheetName val="Template"/>
      <sheetName val="Sensitivities"/>
      <sheetName val="TornadoCharts"/>
      <sheetName val="US$ Real"/>
      <sheetName val="Value"/>
      <sheetName val="Global Inputs"/>
      <sheetName val="Main"/>
      <sheetName val="CostSchedule"/>
      <sheetName val="LTV Calculation"/>
      <sheetName val="Summary"/>
      <sheetName val="Collateral"/>
      <sheetName val="Sheet1"/>
      <sheetName val="Rent Comp"/>
      <sheetName val="土地鑑定表"/>
      <sheetName val="Index"/>
      <sheetName val="外15薪基84"/>
      <sheetName val="不同组合模式分析"/>
      <sheetName val="총괄표"/>
      <sheetName val="List"/>
      <sheetName val="Assumptions"/>
      <sheetName val="Expense"/>
      <sheetName val="土地增值稅"/>
      <sheetName val="85預算"/>
      <sheetName val="現金"/>
      <sheetName val="開發"/>
      <sheetName val="基本"/>
      <sheetName val="menu"/>
      <sheetName val="Inputs_Detail"/>
      <sheetName val="Other_Calc"/>
      <sheetName val="FA_Calc"/>
      <sheetName val="Tax_Calc"/>
      <sheetName val="US$_Real"/>
      <sheetName val="Global_Inputs"/>
      <sheetName val="LTV_Calculation"/>
      <sheetName val="Inputs_Detail1"/>
      <sheetName val="Other_Calc1"/>
      <sheetName val="FA_Calc1"/>
      <sheetName val="Tax_Calc1"/>
      <sheetName val="US$_Real1"/>
      <sheetName val="Global_Inputs1"/>
      <sheetName val="LTV_Calculation1"/>
      <sheetName val="Rent_Comp"/>
    </sheetNames>
    <sheetDataSet>
      <sheetData sheetId="0"/>
      <sheetData sheetId="1">
        <row r="10">
          <cell r="E10" t="str">
            <v>Fengning San Lu Dairy Co</v>
          </cell>
        </row>
        <row r="12">
          <cell r="E12">
            <v>37986</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土 地 增 值 稅 表(中國人壽名下)"/>
      <sheetName val="Sheet7"/>
      <sheetName val="Sheet8"/>
      <sheetName val="Sheet9"/>
      <sheetName val="Sheet10"/>
      <sheetName val="Sheet11"/>
      <sheetName val="Sheet12"/>
      <sheetName val="Sheet13"/>
      <sheetName val="Sheet14"/>
      <sheetName val="Sheet15"/>
      <sheetName val="Sheet16"/>
    </sheetNames>
    <sheetDataSet>
      <sheetData sheetId="0">
        <row r="5">
          <cell r="G5">
            <v>5165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Cash Flow"/>
      <sheetName val="#REF"/>
      <sheetName val="INFO"/>
      <sheetName val="Inputs"/>
      <sheetName val="摘要"/>
      <sheetName val="土地鑑定表"/>
      <sheetName val="Controls"/>
      <sheetName val="Register"/>
      <sheetName val="表02(負債業主權益)"/>
      <sheetName val="表03"/>
      <sheetName val="表09"/>
      <sheetName val="表01"/>
      <sheetName val="表02(資產附表)"/>
      <sheetName val="表02(資產)"/>
      <sheetName val="表15(合併列示及總計)"/>
      <sheetName val="合併前後各筆土地價格"/>
      <sheetName val="Sheet1"/>
      <sheetName val="獎勵容積"/>
      <sheetName val="銷售假設"/>
      <sheetName val="設計假設"/>
      <sheetName val="LSHK_Cash"/>
      <sheetName val="Facility"/>
      <sheetName val="LSHK_WK_FORECAST"/>
      <sheetName val="Index"/>
      <sheetName val="Collateral"/>
      <sheetName val="총괄표"/>
      <sheetName val="Total_list"/>
      <sheetName val="LTV Calculation"/>
      <sheetName val="Summary"/>
      <sheetName val="土地增值稅"/>
      <sheetName val="Rent Comp"/>
      <sheetName val="不同组合模式分析"/>
      <sheetName val="Budget-LF-fy"/>
      <sheetName val="for toppan"/>
      <sheetName val="土地"/>
      <sheetName val="Cash_Flow"/>
      <sheetName val="Cash_Flow1"/>
      <sheetName val="LTV_Calculation"/>
      <sheetName val="for_toppan"/>
      <sheetName val="Rent_Comp"/>
    </sheetNames>
    <sheetDataSet>
      <sheetData sheetId="0"/>
      <sheetData sheetId="1">
        <row r="13">
          <cell r="B13" t="str">
            <v>Yen LIBOR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ing"/>
      <sheetName val="land"/>
      <sheetName val="建築物"/>
      <sheetName val="土地"/>
      <sheetName val="設定表"/>
      <sheetName val="聯合貢獻試算"/>
      <sheetName val="評點及調整表"/>
      <sheetName val="評估明細表"/>
      <sheetName val="土地開發分析法"/>
      <sheetName val="地價卡"/>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Cash Flow"/>
      <sheetName val="#REF"/>
      <sheetName val="_REF"/>
      <sheetName val="._ls_._ls_._ls_._ls_._ls_._ls_."/>
      <sheetName val="Rent Comp"/>
      <sheetName val="Appendix Encumbrances"/>
      <sheetName val="TB"/>
      <sheetName val="土地"/>
      <sheetName val="參數"/>
      <sheetName val="Controls"/>
      <sheetName val="Inputs"/>
      <sheetName val="土地鑑定表"/>
      <sheetName val="Sheet1"/>
      <sheetName val="Collateral"/>
      <sheetName val="LTV Calculation"/>
      <sheetName val="Index"/>
      <sheetName val="__ls___ls___ls___ls___ls___ls_2"/>
      <sheetName val="Cash_Flow"/>
      <sheetName val="__ls___ls___ls___ls___ls___ls__"/>
      <sheetName val="Rent_Comp"/>
      <sheetName val="Appendix_Encumbrances"/>
      <sheetName val="LTV_Calculatio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地增值稅"/>
      <sheetName val="更新前價值"/>
      <sheetName val="更新後價值表"/>
      <sheetName val="Sheet1"/>
      <sheetName val="車位分配"/>
      <sheetName val="#REF"/>
    </sheetNames>
    <sheetDataSet>
      <sheetData sheetId="0"/>
      <sheetData sheetId="1"/>
      <sheetData sheetId="2"/>
      <sheetData sheetId="3"/>
      <sheetData sheetId="4"/>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獎勵容積"/>
      <sheetName val="設計假設"/>
      <sheetName val="銷售假設"/>
      <sheetName val="現金流量"/>
      <sheetName val="地價"/>
      <sheetName val="權利變換"/>
      <sheetName val="敏感性分析"/>
      <sheetName val="開發內容假設"/>
      <sheetName val="Main"/>
      <sheetName val="土地"/>
      <sheetName val="9207物價指數"/>
      <sheetName val="土地增值稅"/>
      <sheetName val="違章處理結果"/>
      <sheetName val="#REF"/>
      <sheetName val="代碼檔"/>
      <sheetName val="Appendix Encumbrances"/>
      <sheetName val="ORIX-AMC範本-20051003"/>
      <sheetName val="Account Description"/>
      <sheetName val="List"/>
      <sheetName val="土地同意比例(951004)"/>
      <sheetName val="面積計算表H66A"/>
      <sheetName val="標單"/>
      <sheetName val="土地鑑定表"/>
      <sheetName val="총괄표"/>
      <sheetName val="단서적용"/>
      <sheetName val="Set Up -inputs"/>
      <sheetName val="SCH15-1"/>
      <sheetName val="摘要"/>
      <sheetName val="序言_荷銀"/>
      <sheetName val="Parameter"/>
      <sheetName val="自訂貸款管理表"/>
      <sheetName val="貸款管理資料"/>
      <sheetName val="報告內容"/>
      <sheetName val="計算檢核"/>
      <sheetName val="INFO"/>
      <sheetName val="I-98BASE"/>
      <sheetName val="摘要表"/>
      <sheetName val="Appendix_Encumbrances"/>
      <sheetName val="Account_Description"/>
      <sheetName val="Set_Up_-inputs"/>
      <sheetName val="COST1_3"/>
      <sheetName val="合建分配"/>
      <sheetName val="規劃方案"/>
      <sheetName val="土估表"/>
      <sheetName val="建估表"/>
      <sheetName val="合法拆補"/>
      <sheetName val="拆除計畫"/>
      <sheetName val="現地安置面積與應分配價值計算表"/>
      <sheetName val="車位填表"/>
      <sheetName val="LD"/>
      <sheetName val="Summary"/>
      <sheetName val="詳細"/>
      <sheetName val="BSIS98"/>
      <sheetName val="Chart_Jun"/>
      <sheetName val="#REF!"/>
      <sheetName val="建 物 鑑 定 表"/>
      <sheetName val="Appendix_Encumbrances1"/>
      <sheetName val="Account_Description1"/>
      <sheetName val="Set_Up_-inputs1"/>
      <sheetName val="建_物_鑑_定_表"/>
      <sheetName val="Appendix_Encumbrances2"/>
      <sheetName val="Account_Description2"/>
      <sheetName val="Set_Up_-inputs2"/>
      <sheetName val="建_物_鑑_定_表1"/>
      <sheetName val="Pricing"/>
      <sheetName val="面積計算表H48A"/>
      <sheetName val="表02(負債業主權益)"/>
      <sheetName val="表03"/>
      <sheetName val="表09"/>
      <sheetName val="表01"/>
      <sheetName val="表02(資產附表)"/>
      <sheetName val="表02(資產)"/>
      <sheetName val="表15(合併列示及總計)"/>
      <sheetName val="更新整體開發收益表"/>
      <sheetName val="基礎資料與審議資料"/>
      <sheetName val="清單"/>
      <sheetName val="Collateral"/>
      <sheetName val="9610物價指數"/>
      <sheetName val="Appendix_Encumbrances3"/>
      <sheetName val="Account_Description3"/>
      <sheetName val="Set_Up_-inputs3"/>
      <sheetName val="建_物_鑑_定_表2"/>
      <sheetName val="Appendix_Encumbrances4"/>
      <sheetName val="Account_Description4"/>
      <sheetName val="Set_Up_-inputs4"/>
      <sheetName val="建_物_鑑_定_表3"/>
      <sheetName val="Appendix_Encumbrances5"/>
      <sheetName val="Account_Description5"/>
      <sheetName val="Set_Up_-inputs5"/>
      <sheetName val="建_物_鑑_定_表4"/>
      <sheetName val="報價總表"/>
      <sheetName val="INPUTE"/>
      <sheetName val="安全驗證"/>
      <sheetName val="Assumptions"/>
      <sheetName val="Appendix_Encumbrances7"/>
      <sheetName val="Account_Description7"/>
      <sheetName val="Set_Up_-inputs7"/>
      <sheetName val="Appendix_Encumbrances6"/>
      <sheetName val="Account_Description6"/>
      <sheetName val="Set_Up_-inputs6"/>
      <sheetName val="Sheet1"/>
      <sheetName val="Appendix_Encumbrances8"/>
      <sheetName val="Account_Description8"/>
      <sheetName val="Set_Up_-inputs8"/>
      <sheetName val="Controls"/>
      <sheetName val="建_物_鑑_定_表5"/>
      <sheetName val="ld_全-2.25"/>
    </sheetNames>
    <sheetDataSet>
      <sheetData sheetId="0" refreshError="1">
        <row r="39">
          <cell r="B39">
            <v>100</v>
          </cell>
        </row>
        <row r="48">
          <cell r="E48">
            <v>72675.7</v>
          </cell>
        </row>
        <row r="54">
          <cell r="E54">
            <v>11473.567499999999</v>
          </cell>
        </row>
        <row r="58">
          <cell r="B58">
            <v>4354</v>
          </cell>
        </row>
        <row r="61">
          <cell r="B61">
            <v>767038.29999999993</v>
          </cell>
        </row>
      </sheetData>
      <sheetData sheetId="1" refreshError="1">
        <row r="11">
          <cell r="C11">
            <v>23229.107092500002</v>
          </cell>
        </row>
        <row r="43">
          <cell r="I43">
            <v>18545.052073749997</v>
          </cell>
        </row>
      </sheetData>
      <sheetData sheetId="2" refreshError="1">
        <row r="14">
          <cell r="C14">
            <v>3289979.8569040769</v>
          </cell>
        </row>
        <row r="20">
          <cell r="C20">
            <v>69687.321277500014</v>
          </cell>
        </row>
        <row r="22">
          <cell r="C22">
            <v>144500</v>
          </cell>
        </row>
        <row r="35">
          <cell r="C35">
            <v>6968.7321277500014</v>
          </cell>
        </row>
        <row r="39">
          <cell r="F39">
            <v>0.5</v>
          </cell>
        </row>
        <row r="40">
          <cell r="C40">
            <v>0.08</v>
          </cell>
        </row>
      </sheetData>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refreshError="1"/>
      <sheetData sheetId="105"/>
      <sheetData sheetId="10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假設工程"/>
      <sheetName val="標單"/>
      <sheetName val="投標標價呈核表"/>
      <sheetName val="開標結果"/>
      <sheetName val="獎勵容積"/>
      <sheetName val="銷售假設"/>
      <sheetName val="設計假設"/>
      <sheetName val="土地"/>
      <sheetName val="#REF"/>
      <sheetName val="預算明細表"/>
      <sheetName val="SAP標準架構"/>
      <sheetName val="作業清單"/>
      <sheetName val="QM01"/>
      <sheetName val="成本彙總表"/>
      <sheetName val="土地增值稅"/>
      <sheetName val="外15薪基84"/>
      <sheetName val="5. ProjectDesign"/>
      <sheetName val="INFO"/>
      <sheetName val="4. ProjectCost"/>
      <sheetName val="Sales"/>
      <sheetName val="Pricing"/>
      <sheetName val="序言_荷銀"/>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4"/>
      <sheetName val="INFO"/>
      <sheetName val="#REF"/>
      <sheetName val="獎勵容積"/>
      <sheetName val="銷售假設"/>
      <sheetName val="設計假設"/>
      <sheetName val="標單"/>
      <sheetName val="5. ProjectDesign"/>
      <sheetName val="4. ProjectCost"/>
      <sheetName val="土地"/>
      <sheetName val="Rent Comp"/>
      <sheetName val="for toppan"/>
      <sheetName val="I-98BASE"/>
      <sheetName val="Set Up -inputs"/>
      <sheetName val="Appendix Encumbrances"/>
      <sheetName val="menu"/>
      <sheetName val="Summary"/>
      <sheetName val="參數"/>
      <sheetName val="Sheet1"/>
      <sheetName val="報告內容"/>
      <sheetName val="土地增值稅"/>
      <sheetName val="Cash Flow"/>
      <sheetName val="Controls"/>
      <sheetName val="土地鑑定表"/>
      <sheetName val="Inputs"/>
      <sheetName val="摘要表"/>
      <sheetName val="開發內容假設"/>
      <sheetName val="序言_荷銀"/>
      <sheetName val="Sales"/>
      <sheetName val="成本"/>
      <sheetName val="估算說明"/>
      <sheetName val="Collateral"/>
      <sheetName val="Cost Center-HR"/>
      <sheetName val="Appendix_Encumbrances"/>
      <sheetName val="Cash_Flow"/>
      <sheetName val="5__ProjectDesign"/>
      <sheetName val="4__ProjectCost"/>
      <sheetName val="Rent_Comp"/>
      <sheetName val="for_toppan"/>
      <sheetName val="Set_Up_-inputs"/>
      <sheetName val="Cost_Center-HR"/>
      <sheetName val="Pric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ing"/>
      <sheetName val="land"/>
      <sheetName val="建築物"/>
      <sheetName val="土地"/>
      <sheetName val="設定表"/>
      <sheetName val="聯合貢獻試算"/>
      <sheetName val="評點及調整表"/>
      <sheetName val="評估明細表"/>
      <sheetName val="土地開發分析法"/>
      <sheetName val="地價卡"/>
      <sheetName val="INFO"/>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rrower"/>
      <sheetName val="Collateral"/>
      <sheetName val="Valuation"/>
      <sheetName val="Land Comps"/>
      <sheetName val="Condo Comps"/>
      <sheetName val="Rental Comps"/>
      <sheetName val="Cash Flow"/>
      <sheetName val="Aggregate CF"/>
      <sheetName val="Database"/>
      <sheetName val="Assumptions"/>
      <sheetName val="摘要"/>
      <sheetName val="Datascreen"/>
      <sheetName val="Summary of Facts"/>
      <sheetName val="INFO"/>
      <sheetName val="土地"/>
      <sheetName val="獎勵容積"/>
      <sheetName val="標單"/>
      <sheetName val="銷售假設"/>
      <sheetName val="設計假設"/>
      <sheetName val="更新整體開發收益表"/>
      <sheetName val="Appendix (2) Leased"/>
      <sheetName val="代碼檔"/>
      <sheetName val="SI2"/>
      <sheetName val="工程預算表"/>
      <sheetName val="IRR"/>
      <sheetName val="Sheet1"/>
      <sheetName val="土地增值稅"/>
      <sheetName val="詳細"/>
      <sheetName val="Lookup"/>
      <sheetName val="Parameter"/>
      <sheetName val="a"/>
      <sheetName val="Land_Comps"/>
      <sheetName val="Condo_Comps"/>
      <sheetName val="Rental_Comps"/>
      <sheetName val="Cash_Flow"/>
      <sheetName val="Aggregate_CF"/>
      <sheetName val="Summary_of_Facts"/>
      <sheetName val="Appendix_(2)_Leased"/>
      <sheetName val="參數"/>
      <sheetName val="Set Up -inputs"/>
      <sheetName val="AIA"/>
      <sheetName val="Summary"/>
      <sheetName val="I-98BASE"/>
      <sheetName val="OFFICE"/>
      <sheetName val="menu"/>
      <sheetName val="不同组合模式分析"/>
      <sheetName val="ORIX-AMC範本-20051003"/>
      <sheetName val="現地安置面積與應分配價值計算表"/>
      <sheetName val="拆除計畫"/>
      <sheetName val="基礎資料與審議資料"/>
      <sheetName val="建 物 鑑 定 表"/>
      <sheetName val="團險職團人"/>
      <sheetName val="Land_Comps1"/>
      <sheetName val="Condo_Comps1"/>
      <sheetName val="Rental_Comps1"/>
      <sheetName val="Cash_Flow1"/>
      <sheetName val="Aggregate_CF1"/>
      <sheetName val="Summary_of_Facts1"/>
      <sheetName val="Appendix_(2)_Leased1"/>
      <sheetName val="Set_Up_-inputs"/>
      <sheetName val="建_物_鑑_定_表"/>
      <sheetName val="Land_Comps2"/>
      <sheetName val="Condo_Comps2"/>
      <sheetName val="Rental_Comps2"/>
      <sheetName val="Cash_Flow2"/>
      <sheetName val="Aggregate_CF2"/>
      <sheetName val="Summary_of_Facts2"/>
      <sheetName val="Appendix_(2)_Leased2"/>
      <sheetName val="Set_Up_-inputs1"/>
      <sheetName val="建_物_鑑_定_表1"/>
      <sheetName val="controls"/>
      <sheetName val="BS EX-RATE 2000.11 "/>
      <sheetName val="計算檢核"/>
      <sheetName val="安全驗證"/>
      <sheetName val="Land_Comps3"/>
      <sheetName val="Condo_Comps3"/>
      <sheetName val="Rental_Comps3"/>
      <sheetName val="Cash_Flow3"/>
      <sheetName val="Aggregate_CF3"/>
      <sheetName val="Summary_of_Facts3"/>
      <sheetName val="Appendix_(2)_Leased3"/>
      <sheetName val="Set_Up_-inputs2"/>
      <sheetName val="建_物_鑑_定_表2"/>
      <sheetName val="Land_Comps4"/>
      <sheetName val="Condo_Comps4"/>
      <sheetName val="Rental_Comps4"/>
      <sheetName val="Cash_Flow4"/>
      <sheetName val="Aggregate_CF4"/>
      <sheetName val="Summary_of_Facts4"/>
      <sheetName val="Appendix_(2)_Leased4"/>
      <sheetName val="Set_Up_-inputs3"/>
      <sheetName val="建_物_鑑_定_表3"/>
      <sheetName val="Land_Comps5"/>
      <sheetName val="Condo_Comps5"/>
      <sheetName val="Rental_Comps5"/>
      <sheetName val="Cash_Flow5"/>
      <sheetName val="Aggregate_CF5"/>
      <sheetName val="Summary_of_Facts5"/>
      <sheetName val="Appendix_(2)_Leased5"/>
      <sheetName val="Set_Up_-inputs4"/>
      <sheetName val="建_物_鑑_定_表4"/>
      <sheetName val="BS_EX-RATE_2000_11_"/>
      <sheetName val="Land_Comps6"/>
      <sheetName val="Condo_Comps6"/>
      <sheetName val="Rental_Comps6"/>
      <sheetName val="Cash_Flow6"/>
      <sheetName val="Aggregate_CF6"/>
      <sheetName val="Summary_of_Facts6"/>
      <sheetName val="Appendix_(2)_Leased6"/>
      <sheetName val="Set_Up_-inputs5"/>
      <sheetName val="建_物_鑑_定_表5"/>
      <sheetName val="表02(負債業主權益)"/>
      <sheetName val="表03"/>
      <sheetName val="表09"/>
      <sheetName val="表01"/>
      <sheetName val="表02(資產附表)"/>
      <sheetName val="表02(資產)"/>
      <sheetName val="表15(合併列示及總計)"/>
      <sheetName val="成本"/>
      <sheetName val="Land_Comps7"/>
      <sheetName val="Condo_Comps7"/>
      <sheetName val="Rental_Comps7"/>
      <sheetName val="Cash_Flow7"/>
      <sheetName val="Aggregate_CF7"/>
      <sheetName val="Summary_of_Facts7"/>
      <sheetName val="Appendix_(2)_Leased7"/>
      <sheetName val="Set_Up_-inputs6"/>
      <sheetName val="個別因素基準表-住宅"/>
      <sheetName val="定義"/>
      <sheetName val="LD_全-2.25"/>
      <sheetName val="Land_Comps8"/>
      <sheetName val="Condo_Comps8"/>
      <sheetName val="Rental_Comps8"/>
      <sheetName val="Cash_Flow8"/>
      <sheetName val="Aggregate_CF8"/>
      <sheetName val="Summary_of_Facts8"/>
      <sheetName val="Appendix_(2)_Leased8"/>
      <sheetName val="Set_Up_-inputs7"/>
      <sheetName val="表11(總計)"/>
      <sheetName val="表10"/>
      <sheetName val="BS_EX-RATE_2000_11_1"/>
      <sheetName val="BS_EX-RATE_2000_11_2"/>
      <sheetName val="BS_EX-RATE_2000_11_3"/>
      <sheetName val="LD_全-2_25"/>
      <sheetName val="明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B4">
            <v>118</v>
          </cell>
        </row>
        <row r="5">
          <cell r="B5">
            <v>3.3057413600891863</v>
          </cell>
        </row>
        <row r="6">
          <cell r="B6">
            <v>10.763999999999999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refreshError="1"/>
      <sheetData sheetId="139" refreshError="1"/>
      <sheetData sheetId="140"/>
      <sheetData sheetId="141"/>
      <sheetData sheetId="142"/>
      <sheetData sheetId="143"/>
      <sheetData sheetId="14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Index"/>
      <sheetName val="基礎資料與審議資料"/>
      <sheetName val="更新整體開發收益表"/>
      <sheetName val="容獎概估"/>
      <sheetName val="共同負擔新版"/>
      <sheetName val="共同負擔表(貼報告書用)"/>
      <sheetName val="權利價值分配與共同負擔比例"/>
      <sheetName val="權利價值分析-3家比較"/>
      <sheetName val="營建工程加成計算表"/>
      <sheetName val="營建物價指數表"/>
      <sheetName val="工程造價標準單價表"/>
      <sheetName val="營建工程費用估算表"/>
      <sheetName val="公寓大廈基金與設計費"/>
      <sheetName val="拆除計畫"/>
      <sheetName val="建物資料表"/>
      <sheetName val="Sheet3"/>
      <sheetName val="現金流量"/>
      <sheetName val="建築規劃(評估用)"/>
      <sheetName val="合法拆補"/>
      <sheetName val="舊違章建築戶"/>
      <sheetName val="違佔拆遷"/>
      <sheetName val="違章初估"/>
      <sheetName val="Sheet1"/>
      <sheetName val="土地"/>
      <sheetName val="Summary"/>
      <sheetName val="Appendix Encumbrances"/>
      <sheetName val="Assumptions"/>
      <sheetName val="Controls"/>
      <sheetName val="土地鑑定表"/>
      <sheetName val="Collateral"/>
      <sheetName val="報告內容"/>
      <sheetName val="土估表"/>
      <sheetName val="建估表"/>
      <sheetName val="INFO"/>
      <sheetName val="SRC-B3U2"/>
      <sheetName val="Index"/>
      <sheetName val="Inputs"/>
      <sheetName val="000容獎財務試算"/>
      <sheetName val="#REF"/>
      <sheetName val="獎勵容積"/>
      <sheetName val="銷售假設"/>
      <sheetName val="設計假設"/>
      <sheetName val="標單"/>
      <sheetName val="XREF"/>
      <sheetName val="營造費用計算表"/>
      <sheetName val="營建費用估算表"/>
      <sheetName val="更新分配預擬"/>
      <sheetName val="台北市營建物價指數表(請依時節自行調整)"/>
      <sheetName val="建物資料"/>
      <sheetName val="何家委建共同負擔試算"/>
      <sheetName val="9207物價指數"/>
      <sheetName val="輸入"/>
      <sheetName val="摘要"/>
      <sheetName val="計算檢核"/>
      <sheetName val="土地增值稅"/>
      <sheetName val="Rent Comp"/>
    </sheetNames>
    <sheetDataSet>
      <sheetData sheetId="0"/>
      <sheetData sheetId="1" refreshError="1">
        <row r="25">
          <cell r="C25">
            <v>78</v>
          </cell>
        </row>
        <row r="82">
          <cell r="C82">
            <v>38992</v>
          </cell>
        </row>
      </sheetData>
      <sheetData sheetId="2" refreshError="1">
        <row r="4">
          <cell r="C4">
            <v>2971848765.0000005</v>
          </cell>
        </row>
        <row r="18">
          <cell r="G18">
            <v>0</v>
          </cell>
        </row>
      </sheetData>
      <sheetData sheetId="3"/>
      <sheetData sheetId="4"/>
      <sheetData sheetId="5"/>
      <sheetData sheetId="6"/>
      <sheetData sheetId="7"/>
      <sheetData sheetId="8"/>
      <sheetData sheetId="9"/>
      <sheetData sheetId="10"/>
      <sheetData sheetId="11"/>
      <sheetData sheetId="12"/>
      <sheetData sheetId="13" refreshError="1">
        <row r="14">
          <cell r="F14">
            <v>795.49988934708028</v>
          </cell>
        </row>
      </sheetData>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Index"/>
      <sheetName val="基礎資料與審議資料"/>
      <sheetName val="概要階段分析"/>
      <sheetName val="建築規劃(評估用)"/>
      <sheetName val="共同負擔表(貼報告書用)"/>
      <sheetName val="更新整體開發收益表"/>
      <sheetName val="共同負擔新版"/>
      <sheetName val="容獎概估"/>
      <sheetName val="營建工程加成計算表"/>
      <sheetName val="台北市營建物價指數表(請依時節自行調整)"/>
      <sheetName val="工程造價標準單價表"/>
      <sheetName val="營建工程費用估算表"/>
      <sheetName val="公寓大廈基金與設計費"/>
      <sheetName val="拆除計畫"/>
      <sheetName val="合法拆補"/>
      <sheetName val="舊違章建築戶"/>
      <sheetName val="違佔拆遷"/>
      <sheetName val="違章初估"/>
      <sheetName val="現金流量"/>
      <sheetName val="Sheet1"/>
    </sheetNames>
    <sheetDataSet>
      <sheetData sheetId="0" refreshError="1"/>
      <sheetData sheetId="1" refreshError="1"/>
      <sheetData sheetId="2" refreshError="1"/>
      <sheetData sheetId="3" refreshError="1"/>
      <sheetData sheetId="4" refreshError="1"/>
      <sheetData sheetId="5" refreshError="1">
        <row r="3">
          <cell r="C3">
            <v>1380287932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ecious Moments"/>
      <sheetName val="Cat 2004"/>
      <sheetName val="2004"/>
      <sheetName val="更新整體開發收益表"/>
      <sheetName val="拆除計畫"/>
      <sheetName val="基礎資料與審議資料"/>
    </sheetNames>
    <sheetDataSet>
      <sheetData sheetId="0"/>
      <sheetData sheetId="1"/>
      <sheetData sheetId="2"/>
      <sheetData sheetId="3">
        <row r="14">
          <cell r="C14" t="str">
            <v>SUN</v>
          </cell>
          <cell r="D14" t="str">
            <v>MON</v>
          </cell>
          <cell r="E14" t="str">
            <v>TUE</v>
          </cell>
          <cell r="F14" t="str">
            <v>WED</v>
          </cell>
          <cell r="G14" t="str">
            <v>THU</v>
          </cell>
          <cell r="H14" t="str">
            <v>FRI</v>
          </cell>
          <cell r="I14" t="str">
            <v>SAT</v>
          </cell>
          <cell r="L14" t="str">
            <v>SUN</v>
          </cell>
          <cell r="M14" t="str">
            <v>MON</v>
          </cell>
          <cell r="N14" t="str">
            <v>TUE</v>
          </cell>
          <cell r="O14" t="str">
            <v>WED</v>
          </cell>
          <cell r="P14" t="str">
            <v>THU</v>
          </cell>
          <cell r="Q14" t="str">
            <v>FRI</v>
          </cell>
          <cell r="R14" t="str">
            <v>SAT</v>
          </cell>
          <cell r="U14" t="str">
            <v>SUN</v>
          </cell>
          <cell r="V14" t="str">
            <v>MON</v>
          </cell>
          <cell r="W14" t="str">
            <v>TUE</v>
          </cell>
          <cell r="X14" t="str">
            <v>WED</v>
          </cell>
          <cell r="Y14" t="str">
            <v>THU</v>
          </cell>
          <cell r="Z14" t="str">
            <v>FRI</v>
          </cell>
          <cell r="AA14" t="str">
            <v>SAT</v>
          </cell>
        </row>
        <row r="15">
          <cell r="C15">
            <v>0</v>
          </cell>
          <cell r="D15">
            <v>0</v>
          </cell>
          <cell r="E15">
            <v>0</v>
          </cell>
          <cell r="F15">
            <v>0</v>
          </cell>
          <cell r="G15">
            <v>1</v>
          </cell>
          <cell r="H15">
            <v>2</v>
          </cell>
          <cell r="I15">
            <v>3</v>
          </cell>
          <cell r="L15">
            <v>1</v>
          </cell>
          <cell r="M15">
            <v>2</v>
          </cell>
          <cell r="N15">
            <v>3</v>
          </cell>
          <cell r="O15">
            <v>4</v>
          </cell>
          <cell r="P15">
            <v>5</v>
          </cell>
          <cell r="Q15">
            <v>6</v>
          </cell>
          <cell r="R15">
            <v>7</v>
          </cell>
          <cell r="U15">
            <v>0</v>
          </cell>
          <cell r="V15">
            <v>1</v>
          </cell>
          <cell r="W15">
            <v>2</v>
          </cell>
          <cell r="X15">
            <v>3</v>
          </cell>
          <cell r="Y15">
            <v>4</v>
          </cell>
          <cell r="Z15">
            <v>5</v>
          </cell>
          <cell r="AA15">
            <v>6</v>
          </cell>
        </row>
        <row r="16">
          <cell r="C16">
            <v>4</v>
          </cell>
          <cell r="D16">
            <v>5</v>
          </cell>
          <cell r="E16">
            <v>6</v>
          </cell>
          <cell r="F16">
            <v>7</v>
          </cell>
          <cell r="G16">
            <v>8</v>
          </cell>
          <cell r="H16">
            <v>9</v>
          </cell>
          <cell r="I16">
            <v>10</v>
          </cell>
          <cell r="L16">
            <v>8</v>
          </cell>
          <cell r="M16">
            <v>9</v>
          </cell>
          <cell r="N16">
            <v>10</v>
          </cell>
          <cell r="O16">
            <v>11</v>
          </cell>
          <cell r="P16">
            <v>12</v>
          </cell>
          <cell r="Q16">
            <v>13</v>
          </cell>
          <cell r="R16">
            <v>14</v>
          </cell>
          <cell r="U16">
            <v>7</v>
          </cell>
          <cell r="V16">
            <v>8</v>
          </cell>
          <cell r="W16">
            <v>9</v>
          </cell>
          <cell r="X16">
            <v>10</v>
          </cell>
          <cell r="Y16">
            <v>11</v>
          </cell>
          <cell r="Z16">
            <v>12</v>
          </cell>
          <cell r="AA16">
            <v>13</v>
          </cell>
        </row>
        <row r="17">
          <cell r="C17">
            <v>11</v>
          </cell>
          <cell r="D17">
            <v>12</v>
          </cell>
          <cell r="E17">
            <v>13</v>
          </cell>
          <cell r="F17">
            <v>14</v>
          </cell>
          <cell r="G17">
            <v>15</v>
          </cell>
          <cell r="H17">
            <v>16</v>
          </cell>
          <cell r="I17">
            <v>17</v>
          </cell>
          <cell r="L17">
            <v>15</v>
          </cell>
          <cell r="M17">
            <v>16</v>
          </cell>
          <cell r="N17">
            <v>17</v>
          </cell>
          <cell r="O17">
            <v>18</v>
          </cell>
          <cell r="P17">
            <v>19</v>
          </cell>
          <cell r="Q17">
            <v>20</v>
          </cell>
          <cell r="R17">
            <v>21</v>
          </cell>
          <cell r="U17">
            <v>14</v>
          </cell>
          <cell r="V17">
            <v>15</v>
          </cell>
          <cell r="W17">
            <v>16</v>
          </cell>
          <cell r="X17">
            <v>17</v>
          </cell>
          <cell r="Y17">
            <v>18</v>
          </cell>
          <cell r="Z17">
            <v>19</v>
          </cell>
          <cell r="AA17">
            <v>20</v>
          </cell>
        </row>
        <row r="18">
          <cell r="C18">
            <v>18</v>
          </cell>
          <cell r="D18">
            <v>19</v>
          </cell>
          <cell r="E18">
            <v>20</v>
          </cell>
          <cell r="F18">
            <v>21</v>
          </cell>
          <cell r="G18">
            <v>22</v>
          </cell>
          <cell r="H18">
            <v>23</v>
          </cell>
          <cell r="I18">
            <v>24</v>
          </cell>
          <cell r="L18">
            <v>22</v>
          </cell>
          <cell r="M18">
            <v>23</v>
          </cell>
          <cell r="N18">
            <v>24</v>
          </cell>
          <cell r="O18">
            <v>25</v>
          </cell>
          <cell r="P18">
            <v>26</v>
          </cell>
          <cell r="Q18">
            <v>27</v>
          </cell>
          <cell r="R18">
            <v>28</v>
          </cell>
          <cell r="U18">
            <v>21</v>
          </cell>
          <cell r="V18">
            <v>22</v>
          </cell>
          <cell r="W18">
            <v>23</v>
          </cell>
          <cell r="X18">
            <v>24</v>
          </cell>
          <cell r="Y18">
            <v>25</v>
          </cell>
          <cell r="Z18">
            <v>26</v>
          </cell>
          <cell r="AA18">
            <v>27</v>
          </cell>
        </row>
        <row r="19">
          <cell r="C19">
            <v>25</v>
          </cell>
          <cell r="D19">
            <v>26</v>
          </cell>
          <cell r="E19">
            <v>27</v>
          </cell>
          <cell r="F19">
            <v>28</v>
          </cell>
          <cell r="G19">
            <v>29</v>
          </cell>
          <cell r="H19">
            <v>30</v>
          </cell>
          <cell r="I19">
            <v>31</v>
          </cell>
          <cell r="L19">
            <v>29</v>
          </cell>
          <cell r="M19">
            <v>0</v>
          </cell>
          <cell r="N19">
            <v>0</v>
          </cell>
          <cell r="O19">
            <v>0</v>
          </cell>
          <cell r="P19">
            <v>0</v>
          </cell>
          <cell r="Q19">
            <v>0</v>
          </cell>
          <cell r="R19">
            <v>0</v>
          </cell>
          <cell r="U19">
            <v>28</v>
          </cell>
          <cell r="V19">
            <v>29</v>
          </cell>
          <cell r="W19">
            <v>30</v>
          </cell>
          <cell r="X19">
            <v>31</v>
          </cell>
          <cell r="Y19">
            <v>0</v>
          </cell>
          <cell r="Z19">
            <v>0</v>
          </cell>
          <cell r="AA19">
            <v>0</v>
          </cell>
        </row>
        <row r="20">
          <cell r="C20">
            <v>0</v>
          </cell>
          <cell r="D20">
            <v>0</v>
          </cell>
          <cell r="E20">
            <v>0</v>
          </cell>
          <cell r="F20">
            <v>0</v>
          </cell>
          <cell r="G20">
            <v>0</v>
          </cell>
          <cell r="H20">
            <v>0</v>
          </cell>
          <cell r="I20">
            <v>0</v>
          </cell>
          <cell r="L20">
            <v>0</v>
          </cell>
          <cell r="M20">
            <v>0</v>
          </cell>
          <cell r="N20">
            <v>0</v>
          </cell>
          <cell r="O20">
            <v>0</v>
          </cell>
          <cell r="P20">
            <v>0</v>
          </cell>
          <cell r="Q20">
            <v>0</v>
          </cell>
          <cell r="R20">
            <v>0</v>
          </cell>
          <cell r="U20">
            <v>0</v>
          </cell>
          <cell r="V20">
            <v>0</v>
          </cell>
          <cell r="W20">
            <v>0</v>
          </cell>
          <cell r="X20">
            <v>0</v>
          </cell>
          <cell r="Y20">
            <v>0</v>
          </cell>
          <cell r="Z20">
            <v>0</v>
          </cell>
          <cell r="AA20">
            <v>0</v>
          </cell>
        </row>
        <row r="23">
          <cell r="C23" t="str">
            <v>SUN</v>
          </cell>
          <cell r="D23" t="str">
            <v>MON</v>
          </cell>
          <cell r="E23" t="str">
            <v>TUE</v>
          </cell>
          <cell r="F23" t="str">
            <v>WED</v>
          </cell>
          <cell r="G23" t="str">
            <v>THU</v>
          </cell>
          <cell r="H23" t="str">
            <v>FRI</v>
          </cell>
          <cell r="I23" t="str">
            <v>SAT</v>
          </cell>
          <cell r="L23" t="str">
            <v>SUN</v>
          </cell>
          <cell r="M23" t="str">
            <v>MON</v>
          </cell>
          <cell r="N23" t="str">
            <v>TUE</v>
          </cell>
          <cell r="O23" t="str">
            <v>WED</v>
          </cell>
          <cell r="P23" t="str">
            <v>THU</v>
          </cell>
          <cell r="Q23" t="str">
            <v>FRI</v>
          </cell>
          <cell r="R23" t="str">
            <v>SAT</v>
          </cell>
          <cell r="U23" t="str">
            <v>SUN</v>
          </cell>
          <cell r="V23" t="str">
            <v>MON</v>
          </cell>
          <cell r="W23" t="str">
            <v>TUE</v>
          </cell>
          <cell r="X23" t="str">
            <v>WED</v>
          </cell>
          <cell r="Y23" t="str">
            <v>THU</v>
          </cell>
          <cell r="Z23" t="str">
            <v>FRI</v>
          </cell>
          <cell r="AA23" t="str">
            <v>SAT</v>
          </cell>
        </row>
        <row r="24">
          <cell r="C24">
            <v>0</v>
          </cell>
          <cell r="D24">
            <v>0</v>
          </cell>
          <cell r="E24">
            <v>0</v>
          </cell>
          <cell r="F24">
            <v>0</v>
          </cell>
          <cell r="G24">
            <v>1</v>
          </cell>
          <cell r="H24">
            <v>2</v>
          </cell>
          <cell r="I24">
            <v>3</v>
          </cell>
          <cell r="L24">
            <v>0</v>
          </cell>
          <cell r="M24">
            <v>0</v>
          </cell>
          <cell r="N24">
            <v>0</v>
          </cell>
          <cell r="O24">
            <v>0</v>
          </cell>
          <cell r="P24">
            <v>0</v>
          </cell>
          <cell r="Q24">
            <v>0</v>
          </cell>
          <cell r="R24">
            <v>1</v>
          </cell>
          <cell r="U24">
            <v>0</v>
          </cell>
          <cell r="V24">
            <v>0</v>
          </cell>
          <cell r="W24">
            <v>1</v>
          </cell>
          <cell r="X24">
            <v>2</v>
          </cell>
          <cell r="Y24">
            <v>3</v>
          </cell>
          <cell r="Z24">
            <v>4</v>
          </cell>
          <cell r="AA24">
            <v>5</v>
          </cell>
        </row>
        <row r="25">
          <cell r="C25">
            <v>4</v>
          </cell>
          <cell r="D25">
            <v>5</v>
          </cell>
          <cell r="E25">
            <v>6</v>
          </cell>
          <cell r="F25">
            <v>7</v>
          </cell>
          <cell r="G25">
            <v>8</v>
          </cell>
          <cell r="H25">
            <v>9</v>
          </cell>
          <cell r="I25">
            <v>10</v>
          </cell>
          <cell r="L25">
            <v>2</v>
          </cell>
          <cell r="M25">
            <v>3</v>
          </cell>
          <cell r="N25">
            <v>4</v>
          </cell>
          <cell r="O25">
            <v>5</v>
          </cell>
          <cell r="P25">
            <v>6</v>
          </cell>
          <cell r="Q25">
            <v>7</v>
          </cell>
          <cell r="R25">
            <v>8</v>
          </cell>
          <cell r="U25">
            <v>6</v>
          </cell>
          <cell r="V25">
            <v>7</v>
          </cell>
          <cell r="W25">
            <v>8</v>
          </cell>
          <cell r="X25">
            <v>9</v>
          </cell>
          <cell r="Y25">
            <v>10</v>
          </cell>
          <cell r="Z25">
            <v>11</v>
          </cell>
          <cell r="AA25">
            <v>12</v>
          </cell>
        </row>
        <row r="26">
          <cell r="C26">
            <v>11</v>
          </cell>
          <cell r="D26">
            <v>12</v>
          </cell>
          <cell r="E26">
            <v>13</v>
          </cell>
          <cell r="F26">
            <v>14</v>
          </cell>
          <cell r="G26">
            <v>15</v>
          </cell>
          <cell r="H26">
            <v>16</v>
          </cell>
          <cell r="I26">
            <v>17</v>
          </cell>
          <cell r="L26">
            <v>9</v>
          </cell>
          <cell r="M26">
            <v>10</v>
          </cell>
          <cell r="N26">
            <v>11</v>
          </cell>
          <cell r="O26">
            <v>12</v>
          </cell>
          <cell r="P26">
            <v>13</v>
          </cell>
          <cell r="Q26">
            <v>14</v>
          </cell>
          <cell r="R26">
            <v>15</v>
          </cell>
          <cell r="U26">
            <v>13</v>
          </cell>
          <cell r="V26">
            <v>14</v>
          </cell>
          <cell r="W26">
            <v>15</v>
          </cell>
          <cell r="X26">
            <v>16</v>
          </cell>
          <cell r="Y26">
            <v>17</v>
          </cell>
          <cell r="Z26">
            <v>18</v>
          </cell>
          <cell r="AA26">
            <v>19</v>
          </cell>
        </row>
        <row r="27">
          <cell r="C27">
            <v>18</v>
          </cell>
          <cell r="D27">
            <v>19</v>
          </cell>
          <cell r="E27">
            <v>20</v>
          </cell>
          <cell r="F27">
            <v>21</v>
          </cell>
          <cell r="G27">
            <v>22</v>
          </cell>
          <cell r="H27">
            <v>23</v>
          </cell>
          <cell r="I27">
            <v>24</v>
          </cell>
          <cell r="L27">
            <v>16</v>
          </cell>
          <cell r="M27">
            <v>17</v>
          </cell>
          <cell r="N27">
            <v>18</v>
          </cell>
          <cell r="O27">
            <v>19</v>
          </cell>
          <cell r="P27">
            <v>20</v>
          </cell>
          <cell r="Q27">
            <v>21</v>
          </cell>
          <cell r="R27">
            <v>22</v>
          </cell>
          <cell r="U27">
            <v>20</v>
          </cell>
          <cell r="V27">
            <v>21</v>
          </cell>
          <cell r="W27">
            <v>22</v>
          </cell>
          <cell r="X27">
            <v>23</v>
          </cell>
          <cell r="Y27">
            <v>24</v>
          </cell>
          <cell r="Z27">
            <v>25</v>
          </cell>
          <cell r="AA27">
            <v>26</v>
          </cell>
        </row>
        <row r="28">
          <cell r="C28">
            <v>25</v>
          </cell>
          <cell r="D28">
            <v>26</v>
          </cell>
          <cell r="E28">
            <v>27</v>
          </cell>
          <cell r="F28">
            <v>28</v>
          </cell>
          <cell r="G28">
            <v>29</v>
          </cell>
          <cell r="H28">
            <v>30</v>
          </cell>
          <cell r="I28">
            <v>0</v>
          </cell>
          <cell r="L28">
            <v>23</v>
          </cell>
          <cell r="M28">
            <v>24</v>
          </cell>
          <cell r="N28">
            <v>25</v>
          </cell>
          <cell r="O28">
            <v>26</v>
          </cell>
          <cell r="P28">
            <v>27</v>
          </cell>
          <cell r="Q28">
            <v>28</v>
          </cell>
          <cell r="R28">
            <v>29</v>
          </cell>
          <cell r="U28">
            <v>27</v>
          </cell>
          <cell r="V28">
            <v>28</v>
          </cell>
          <cell r="W28">
            <v>29</v>
          </cell>
          <cell r="X28">
            <v>30</v>
          </cell>
          <cell r="Y28">
            <v>0</v>
          </cell>
          <cell r="Z28">
            <v>0</v>
          </cell>
          <cell r="AA28">
            <v>0</v>
          </cell>
        </row>
        <row r="29">
          <cell r="C29">
            <v>0</v>
          </cell>
          <cell r="D29">
            <v>0</v>
          </cell>
          <cell r="E29">
            <v>0</v>
          </cell>
          <cell r="F29">
            <v>0</v>
          </cell>
          <cell r="G29">
            <v>0</v>
          </cell>
          <cell r="H29">
            <v>0</v>
          </cell>
          <cell r="I29">
            <v>0</v>
          </cell>
          <cell r="L29">
            <v>30</v>
          </cell>
          <cell r="M29">
            <v>31</v>
          </cell>
          <cell r="N29">
            <v>0</v>
          </cell>
          <cell r="O29">
            <v>0</v>
          </cell>
          <cell r="P29">
            <v>0</v>
          </cell>
          <cell r="Q29">
            <v>0</v>
          </cell>
          <cell r="R29">
            <v>0</v>
          </cell>
          <cell r="U29">
            <v>0</v>
          </cell>
          <cell r="V29">
            <v>0</v>
          </cell>
          <cell r="W29">
            <v>0</v>
          </cell>
          <cell r="X29">
            <v>0</v>
          </cell>
          <cell r="Y29">
            <v>0</v>
          </cell>
          <cell r="Z29">
            <v>0</v>
          </cell>
          <cell r="AA29">
            <v>0</v>
          </cell>
        </row>
        <row r="32">
          <cell r="C32" t="str">
            <v>SUN</v>
          </cell>
          <cell r="D32" t="str">
            <v>MON</v>
          </cell>
          <cell r="E32" t="str">
            <v>TUE</v>
          </cell>
          <cell r="F32" t="str">
            <v>WED</v>
          </cell>
          <cell r="G32" t="str">
            <v>THU</v>
          </cell>
          <cell r="H32" t="str">
            <v>FRI</v>
          </cell>
          <cell r="I32" t="str">
            <v>SAT</v>
          </cell>
          <cell r="L32" t="str">
            <v>SUN</v>
          </cell>
          <cell r="M32" t="str">
            <v>MON</v>
          </cell>
          <cell r="N32" t="str">
            <v>TUE</v>
          </cell>
          <cell r="O32" t="str">
            <v>WED</v>
          </cell>
          <cell r="P32" t="str">
            <v>THU</v>
          </cell>
          <cell r="Q32" t="str">
            <v>FRI</v>
          </cell>
          <cell r="R32" t="str">
            <v>SAT</v>
          </cell>
          <cell r="U32" t="str">
            <v>SUN</v>
          </cell>
          <cell r="V32" t="str">
            <v>MON</v>
          </cell>
          <cell r="W32" t="str">
            <v>TUE</v>
          </cell>
          <cell r="X32" t="str">
            <v>WED</v>
          </cell>
          <cell r="Y32" t="str">
            <v>THU</v>
          </cell>
          <cell r="Z32" t="str">
            <v>FRI</v>
          </cell>
          <cell r="AA32" t="str">
            <v>SAT</v>
          </cell>
        </row>
        <row r="33">
          <cell r="C33">
            <v>0</v>
          </cell>
          <cell r="D33">
            <v>0</v>
          </cell>
          <cell r="E33">
            <v>0</v>
          </cell>
          <cell r="F33">
            <v>0</v>
          </cell>
          <cell r="G33">
            <v>1</v>
          </cell>
          <cell r="H33">
            <v>2</v>
          </cell>
          <cell r="I33">
            <v>3</v>
          </cell>
          <cell r="L33">
            <v>1</v>
          </cell>
          <cell r="M33">
            <v>2</v>
          </cell>
          <cell r="N33">
            <v>3</v>
          </cell>
          <cell r="O33">
            <v>4</v>
          </cell>
          <cell r="P33">
            <v>5</v>
          </cell>
          <cell r="Q33">
            <v>6</v>
          </cell>
          <cell r="R33">
            <v>7</v>
          </cell>
          <cell r="U33">
            <v>0</v>
          </cell>
          <cell r="V33">
            <v>0</v>
          </cell>
          <cell r="W33">
            <v>0</v>
          </cell>
          <cell r="X33">
            <v>1</v>
          </cell>
          <cell r="Y33">
            <v>2</v>
          </cell>
          <cell r="Z33">
            <v>3</v>
          </cell>
          <cell r="AA33">
            <v>4</v>
          </cell>
        </row>
        <row r="34">
          <cell r="C34">
            <v>4</v>
          </cell>
          <cell r="D34">
            <v>5</v>
          </cell>
          <cell r="E34">
            <v>6</v>
          </cell>
          <cell r="F34">
            <v>7</v>
          </cell>
          <cell r="G34">
            <v>8</v>
          </cell>
          <cell r="H34">
            <v>9</v>
          </cell>
          <cell r="I34">
            <v>10</v>
          </cell>
          <cell r="L34">
            <v>8</v>
          </cell>
          <cell r="M34">
            <v>9</v>
          </cell>
          <cell r="N34">
            <v>10</v>
          </cell>
          <cell r="O34">
            <v>11</v>
          </cell>
          <cell r="P34">
            <v>12</v>
          </cell>
          <cell r="Q34">
            <v>13</v>
          </cell>
          <cell r="R34">
            <v>14</v>
          </cell>
          <cell r="U34">
            <v>5</v>
          </cell>
          <cell r="V34">
            <v>6</v>
          </cell>
          <cell r="W34">
            <v>7</v>
          </cell>
          <cell r="X34">
            <v>8</v>
          </cell>
          <cell r="Y34">
            <v>9</v>
          </cell>
          <cell r="Z34">
            <v>10</v>
          </cell>
          <cell r="AA34">
            <v>11</v>
          </cell>
        </row>
        <row r="35">
          <cell r="C35">
            <v>11</v>
          </cell>
          <cell r="D35">
            <v>12</v>
          </cell>
          <cell r="E35">
            <v>13</v>
          </cell>
          <cell r="F35">
            <v>14</v>
          </cell>
          <cell r="G35">
            <v>15</v>
          </cell>
          <cell r="H35">
            <v>16</v>
          </cell>
          <cell r="I35">
            <v>17</v>
          </cell>
          <cell r="L35">
            <v>15</v>
          </cell>
          <cell r="M35">
            <v>16</v>
          </cell>
          <cell r="N35">
            <v>17</v>
          </cell>
          <cell r="O35">
            <v>18</v>
          </cell>
          <cell r="P35">
            <v>19</v>
          </cell>
          <cell r="Q35">
            <v>20</v>
          </cell>
          <cell r="R35">
            <v>21</v>
          </cell>
          <cell r="U35">
            <v>12</v>
          </cell>
          <cell r="V35">
            <v>13</v>
          </cell>
          <cell r="W35">
            <v>14</v>
          </cell>
          <cell r="X35">
            <v>15</v>
          </cell>
          <cell r="Y35">
            <v>16</v>
          </cell>
          <cell r="Z35">
            <v>17</v>
          </cell>
          <cell r="AA35">
            <v>18</v>
          </cell>
        </row>
        <row r="36">
          <cell r="C36">
            <v>18</v>
          </cell>
          <cell r="D36">
            <v>19</v>
          </cell>
          <cell r="E36">
            <v>20</v>
          </cell>
          <cell r="F36">
            <v>21</v>
          </cell>
          <cell r="G36">
            <v>22</v>
          </cell>
          <cell r="H36">
            <v>23</v>
          </cell>
          <cell r="I36">
            <v>24</v>
          </cell>
          <cell r="L36">
            <v>22</v>
          </cell>
          <cell r="M36">
            <v>23</v>
          </cell>
          <cell r="N36">
            <v>24</v>
          </cell>
          <cell r="O36">
            <v>25</v>
          </cell>
          <cell r="P36">
            <v>26</v>
          </cell>
          <cell r="Q36">
            <v>27</v>
          </cell>
          <cell r="R36">
            <v>28</v>
          </cell>
          <cell r="U36">
            <v>19</v>
          </cell>
          <cell r="V36">
            <v>20</v>
          </cell>
          <cell r="W36">
            <v>21</v>
          </cell>
          <cell r="X36">
            <v>22</v>
          </cell>
          <cell r="Y36">
            <v>23</v>
          </cell>
          <cell r="Z36">
            <v>24</v>
          </cell>
          <cell r="AA36">
            <v>25</v>
          </cell>
        </row>
        <row r="37">
          <cell r="C37">
            <v>25</v>
          </cell>
          <cell r="D37">
            <v>26</v>
          </cell>
          <cell r="E37">
            <v>27</v>
          </cell>
          <cell r="F37">
            <v>28</v>
          </cell>
          <cell r="G37">
            <v>29</v>
          </cell>
          <cell r="H37">
            <v>30</v>
          </cell>
          <cell r="I37">
            <v>31</v>
          </cell>
          <cell r="L37">
            <v>29</v>
          </cell>
          <cell r="M37">
            <v>30</v>
          </cell>
          <cell r="N37">
            <v>31</v>
          </cell>
          <cell r="O37">
            <v>0</v>
          </cell>
          <cell r="P37">
            <v>0</v>
          </cell>
          <cell r="Q37">
            <v>0</v>
          </cell>
          <cell r="R37">
            <v>0</v>
          </cell>
          <cell r="U37">
            <v>26</v>
          </cell>
          <cell r="V37">
            <v>27</v>
          </cell>
          <cell r="W37">
            <v>28</v>
          </cell>
          <cell r="X37">
            <v>29</v>
          </cell>
          <cell r="Y37">
            <v>30</v>
          </cell>
          <cell r="Z37">
            <v>0</v>
          </cell>
          <cell r="AA37">
            <v>0</v>
          </cell>
        </row>
        <row r="38">
          <cell r="C38">
            <v>0</v>
          </cell>
          <cell r="D38">
            <v>0</v>
          </cell>
          <cell r="E38">
            <v>0</v>
          </cell>
          <cell r="F38">
            <v>0</v>
          </cell>
          <cell r="G38">
            <v>0</v>
          </cell>
          <cell r="H38">
            <v>0</v>
          </cell>
          <cell r="I38">
            <v>0</v>
          </cell>
          <cell r="L38">
            <v>0</v>
          </cell>
          <cell r="M38">
            <v>0</v>
          </cell>
          <cell r="N38">
            <v>0</v>
          </cell>
          <cell r="O38">
            <v>0</v>
          </cell>
          <cell r="P38">
            <v>0</v>
          </cell>
          <cell r="Q38">
            <v>0</v>
          </cell>
          <cell r="R38">
            <v>0</v>
          </cell>
          <cell r="U38">
            <v>0</v>
          </cell>
          <cell r="V38">
            <v>0</v>
          </cell>
          <cell r="W38">
            <v>0</v>
          </cell>
          <cell r="X38">
            <v>0</v>
          </cell>
          <cell r="Y38">
            <v>0</v>
          </cell>
          <cell r="Z38">
            <v>0</v>
          </cell>
          <cell r="AA38">
            <v>0</v>
          </cell>
        </row>
        <row r="41">
          <cell r="C41" t="str">
            <v>SUN</v>
          </cell>
          <cell r="D41" t="str">
            <v>MON</v>
          </cell>
          <cell r="E41" t="str">
            <v>TUE</v>
          </cell>
          <cell r="F41" t="str">
            <v>WED</v>
          </cell>
          <cell r="G41" t="str">
            <v>THU</v>
          </cell>
          <cell r="H41" t="str">
            <v>FRI</v>
          </cell>
          <cell r="I41" t="str">
            <v>SAT</v>
          </cell>
          <cell r="L41" t="str">
            <v>SUN</v>
          </cell>
          <cell r="M41" t="str">
            <v>MON</v>
          </cell>
          <cell r="N41" t="str">
            <v>TUE</v>
          </cell>
          <cell r="O41" t="str">
            <v>WED</v>
          </cell>
          <cell r="P41" t="str">
            <v>THU</v>
          </cell>
          <cell r="Q41" t="str">
            <v>FRI</v>
          </cell>
          <cell r="R41" t="str">
            <v>SAT</v>
          </cell>
          <cell r="U41" t="str">
            <v>SUN</v>
          </cell>
          <cell r="V41" t="str">
            <v>MON</v>
          </cell>
          <cell r="W41" t="str">
            <v>TUE</v>
          </cell>
          <cell r="X41" t="str">
            <v>WED</v>
          </cell>
          <cell r="Y41" t="str">
            <v>THU</v>
          </cell>
          <cell r="Z41" t="str">
            <v>FRI</v>
          </cell>
          <cell r="AA41" t="str">
            <v>SAT</v>
          </cell>
        </row>
        <row r="42">
          <cell r="C42">
            <v>0</v>
          </cell>
          <cell r="D42">
            <v>0</v>
          </cell>
          <cell r="E42">
            <v>0</v>
          </cell>
          <cell r="F42">
            <v>0</v>
          </cell>
          <cell r="G42">
            <v>0</v>
          </cell>
          <cell r="H42">
            <v>1</v>
          </cell>
          <cell r="I42">
            <v>2</v>
          </cell>
          <cell r="L42">
            <v>0</v>
          </cell>
          <cell r="M42">
            <v>1</v>
          </cell>
          <cell r="N42">
            <v>2</v>
          </cell>
          <cell r="O42">
            <v>3</v>
          </cell>
          <cell r="P42">
            <v>4</v>
          </cell>
          <cell r="Q42">
            <v>5</v>
          </cell>
          <cell r="R42">
            <v>6</v>
          </cell>
          <cell r="U42">
            <v>0</v>
          </cell>
          <cell r="V42">
            <v>0</v>
          </cell>
          <cell r="W42">
            <v>0</v>
          </cell>
          <cell r="X42">
            <v>1</v>
          </cell>
          <cell r="Y42">
            <v>2</v>
          </cell>
          <cell r="Z42">
            <v>3</v>
          </cell>
          <cell r="AA42">
            <v>4</v>
          </cell>
        </row>
        <row r="43">
          <cell r="C43">
            <v>3</v>
          </cell>
          <cell r="D43">
            <v>4</v>
          </cell>
          <cell r="E43">
            <v>5</v>
          </cell>
          <cell r="F43">
            <v>6</v>
          </cell>
          <cell r="G43">
            <v>7</v>
          </cell>
          <cell r="H43">
            <v>8</v>
          </cell>
          <cell r="I43">
            <v>9</v>
          </cell>
          <cell r="L43">
            <v>7</v>
          </cell>
          <cell r="M43">
            <v>8</v>
          </cell>
          <cell r="N43">
            <v>9</v>
          </cell>
          <cell r="O43">
            <v>10</v>
          </cell>
          <cell r="P43">
            <v>11</v>
          </cell>
          <cell r="Q43">
            <v>12</v>
          </cell>
          <cell r="R43">
            <v>13</v>
          </cell>
          <cell r="U43">
            <v>5</v>
          </cell>
          <cell r="V43">
            <v>6</v>
          </cell>
          <cell r="W43">
            <v>7</v>
          </cell>
          <cell r="X43">
            <v>8</v>
          </cell>
          <cell r="Y43">
            <v>9</v>
          </cell>
          <cell r="Z43">
            <v>10</v>
          </cell>
          <cell r="AA43">
            <v>11</v>
          </cell>
        </row>
        <row r="44">
          <cell r="C44">
            <v>10</v>
          </cell>
          <cell r="D44">
            <v>11</v>
          </cell>
          <cell r="E44">
            <v>12</v>
          </cell>
          <cell r="F44">
            <v>13</v>
          </cell>
          <cell r="G44">
            <v>14</v>
          </cell>
          <cell r="H44">
            <v>15</v>
          </cell>
          <cell r="I44">
            <v>16</v>
          </cell>
          <cell r="L44">
            <v>14</v>
          </cell>
          <cell r="M44">
            <v>15</v>
          </cell>
          <cell r="N44">
            <v>16</v>
          </cell>
          <cell r="O44">
            <v>17</v>
          </cell>
          <cell r="P44">
            <v>18</v>
          </cell>
          <cell r="Q44">
            <v>19</v>
          </cell>
          <cell r="R44">
            <v>20</v>
          </cell>
          <cell r="U44">
            <v>12</v>
          </cell>
          <cell r="V44">
            <v>13</v>
          </cell>
          <cell r="W44">
            <v>14</v>
          </cell>
          <cell r="X44">
            <v>15</v>
          </cell>
          <cell r="Y44">
            <v>16</v>
          </cell>
          <cell r="Z44">
            <v>17</v>
          </cell>
          <cell r="AA44">
            <v>18</v>
          </cell>
        </row>
        <row r="45">
          <cell r="C45">
            <v>17</v>
          </cell>
          <cell r="D45">
            <v>18</v>
          </cell>
          <cell r="E45">
            <v>19</v>
          </cell>
          <cell r="F45">
            <v>20</v>
          </cell>
          <cell r="G45">
            <v>21</v>
          </cell>
          <cell r="H45">
            <v>22</v>
          </cell>
          <cell r="I45">
            <v>23</v>
          </cell>
          <cell r="L45">
            <v>21</v>
          </cell>
          <cell r="M45">
            <v>22</v>
          </cell>
          <cell r="N45">
            <v>23</v>
          </cell>
          <cell r="O45">
            <v>24</v>
          </cell>
          <cell r="P45">
            <v>25</v>
          </cell>
          <cell r="Q45">
            <v>26</v>
          </cell>
          <cell r="R45">
            <v>27</v>
          </cell>
          <cell r="U45">
            <v>19</v>
          </cell>
          <cell r="V45">
            <v>20</v>
          </cell>
          <cell r="W45">
            <v>21</v>
          </cell>
          <cell r="X45">
            <v>22</v>
          </cell>
          <cell r="Y45">
            <v>23</v>
          </cell>
          <cell r="Z45">
            <v>24</v>
          </cell>
          <cell r="AA45">
            <v>25</v>
          </cell>
        </row>
        <row r="46">
          <cell r="C46">
            <v>24</v>
          </cell>
          <cell r="D46">
            <v>25</v>
          </cell>
          <cell r="E46">
            <v>26</v>
          </cell>
          <cell r="F46">
            <v>27</v>
          </cell>
          <cell r="G46">
            <v>28</v>
          </cell>
          <cell r="H46">
            <v>29</v>
          </cell>
          <cell r="I46">
            <v>30</v>
          </cell>
          <cell r="L46">
            <v>28</v>
          </cell>
          <cell r="M46">
            <v>29</v>
          </cell>
          <cell r="N46">
            <v>30</v>
          </cell>
          <cell r="O46">
            <v>0</v>
          </cell>
          <cell r="P46">
            <v>0</v>
          </cell>
          <cell r="Q46">
            <v>0</v>
          </cell>
          <cell r="R46">
            <v>0</v>
          </cell>
          <cell r="U46">
            <v>26</v>
          </cell>
          <cell r="V46">
            <v>27</v>
          </cell>
          <cell r="W46">
            <v>28</v>
          </cell>
          <cell r="X46">
            <v>29</v>
          </cell>
          <cell r="Y46">
            <v>30</v>
          </cell>
          <cell r="Z46">
            <v>31</v>
          </cell>
          <cell r="AA46">
            <v>0</v>
          </cell>
        </row>
        <row r="47">
          <cell r="C47">
            <v>31</v>
          </cell>
          <cell r="D47">
            <v>0</v>
          </cell>
          <cell r="E47">
            <v>0</v>
          </cell>
          <cell r="F47">
            <v>0</v>
          </cell>
          <cell r="G47">
            <v>0</v>
          </cell>
          <cell r="H47">
            <v>0</v>
          </cell>
          <cell r="I47">
            <v>0</v>
          </cell>
          <cell r="L47">
            <v>0</v>
          </cell>
          <cell r="M47">
            <v>0</v>
          </cell>
          <cell r="N47">
            <v>0</v>
          </cell>
          <cell r="O47">
            <v>0</v>
          </cell>
          <cell r="P47">
            <v>0</v>
          </cell>
          <cell r="Q47">
            <v>0</v>
          </cell>
          <cell r="R47">
            <v>0</v>
          </cell>
          <cell r="U47">
            <v>0</v>
          </cell>
          <cell r="V47">
            <v>0</v>
          </cell>
          <cell r="W47">
            <v>0</v>
          </cell>
          <cell r="X47">
            <v>0</v>
          </cell>
          <cell r="Y47">
            <v>0</v>
          </cell>
          <cell r="Z47">
            <v>0</v>
          </cell>
          <cell r="AA47">
            <v>0</v>
          </cell>
        </row>
      </sheetData>
      <sheetData sheetId="4" refreshError="1"/>
      <sheetData sheetId="5" refreshError="1"/>
      <sheetData sheetId="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raisal Summary"/>
      <sheetName val="Input"/>
      <sheetName val="Datascreen"/>
      <sheetName val="Summary of Facts"/>
      <sheetName val="Report Narrative"/>
      <sheetName val="Land &amp; Cost Approach"/>
      <sheetName val="Mkt Sale Comp Approach"/>
      <sheetName val="Ct Auc Comp Approach"/>
      <sheetName val="Income Approach"/>
      <sheetName val="Photos"/>
      <sheetName val="Comp Photos"/>
      <sheetName val="Site Plan"/>
      <sheetName val="Maps"/>
      <sheetName val="LVIT"/>
      <sheetName val="Property List"/>
      <sheetName val="Lien Structure"/>
      <sheetName val="Summary"/>
      <sheetName val="建築分析細項"/>
      <sheetName val="摘要表"/>
      <sheetName val="Sheet1"/>
      <sheetName val="LD_全-2.25"/>
      <sheetName val="更新整體開發收益表"/>
      <sheetName val="拆除計畫"/>
      <sheetName val="計算檢核"/>
      <sheetName val="安全驗證"/>
      <sheetName val="輸入"/>
      <sheetName val="報告內容"/>
      <sheetName val="土估表"/>
      <sheetName val="建估表"/>
      <sheetName val="2004"/>
      <sheetName val="單價分析"/>
      <sheetName val="基礎資料與審議資料"/>
      <sheetName val="9207物價指數"/>
      <sheetName val="比較法查證表"/>
      <sheetName val="土地"/>
      <sheetName val="Hyperion"/>
      <sheetName val="controls"/>
      <sheetName val="Assumptions"/>
      <sheetName val="摘要"/>
      <sheetName val="INFO"/>
      <sheetName val="代碼檔"/>
      <sheetName val="BS EX-RATE 2000.11 "/>
      <sheetName val="List"/>
      <sheetName val="施工預算明細表"/>
      <sheetName val="獎勵容積"/>
      <sheetName val="銷售假設"/>
      <sheetName val="設計假設"/>
      <sheetName val="ORIX-AMC範本-20051003"/>
      <sheetName val="面積計算表H66A"/>
      <sheetName val="M38耗料分析表"/>
      <sheetName val="分區"/>
      <sheetName val="AIA"/>
      <sheetName val="Parameter"/>
      <sheetName val="Appraisal_Summary"/>
      <sheetName val="Summary_of_Facts"/>
      <sheetName val="Report_Narrative"/>
      <sheetName val="Land_&amp;_Cost_Approach"/>
      <sheetName val="Mkt_Sale_Comp_Approach"/>
      <sheetName val="Ct_Auc_Comp_Approach"/>
      <sheetName val="Income_Approach"/>
      <sheetName val="Comp_Photos"/>
      <sheetName val="Site_Plan"/>
      <sheetName val="Property_List"/>
      <sheetName val="Lien_Structure"/>
      <sheetName val="LD_全-2_25"/>
      <sheetName val="BS_EX-RATE_2000_11_"/>
      <sheetName val="基本假設"/>
      <sheetName val="Appraisal_Summary1"/>
      <sheetName val="Summary_of_Facts1"/>
      <sheetName val="Report_Narrative1"/>
      <sheetName val="Land_&amp;_Cost_Approach1"/>
      <sheetName val="Mkt_Sale_Comp_Approach1"/>
      <sheetName val="Ct_Auc_Comp_Approach1"/>
      <sheetName val="Income_Approach1"/>
      <sheetName val="Comp_Photos1"/>
      <sheetName val="Site_Plan1"/>
      <sheetName val="Property_List1"/>
      <sheetName val="Lien_Structure1"/>
      <sheetName val="LD_全-2_251"/>
      <sheetName val="BS_EX-RATE_2000_11_1"/>
      <sheetName val="表02(負債業主權益)"/>
      <sheetName val="#REF!"/>
      <sheetName val="Appraisal_Summary2"/>
      <sheetName val="Summary_of_Facts2"/>
      <sheetName val="Report_Narrative2"/>
      <sheetName val="Land_&amp;_Cost_Approach2"/>
      <sheetName val="Mkt_Sale_Comp_Approach2"/>
      <sheetName val="Ct_Auc_Comp_Approach2"/>
      <sheetName val="Income_Approach2"/>
      <sheetName val="Comp_Photos2"/>
      <sheetName val="Site_Plan2"/>
      <sheetName val="Property_List2"/>
      <sheetName val="Lien_Structure2"/>
      <sheetName val="LD_全-2_252"/>
      <sheetName val="BS_EX-RATE_2000_11_2"/>
      <sheetName val="Appraisal_Summary3"/>
      <sheetName val="Summary_of_Facts3"/>
      <sheetName val="Report_Narrative3"/>
      <sheetName val="Land_&amp;_Cost_Approach3"/>
      <sheetName val="Mkt_Sale_Comp_Approach3"/>
      <sheetName val="Ct_Auc_Comp_Approach3"/>
      <sheetName val="Income_Approach3"/>
      <sheetName val="Comp_Photos3"/>
      <sheetName val="Site_Plan3"/>
      <sheetName val="Property_List3"/>
      <sheetName val="Lien_Structure3"/>
      <sheetName val="LD_全-2_253"/>
      <sheetName val="BS_EX-RATE_2000_11_3"/>
      <sheetName val="Appraisal_Summary4"/>
      <sheetName val="Summary_of_Facts4"/>
      <sheetName val="Report_Narrative4"/>
      <sheetName val="Land_&amp;_Cost_Approach4"/>
      <sheetName val="Mkt_Sale_Comp_Approach4"/>
      <sheetName val="Ct_Auc_Comp_Approach4"/>
      <sheetName val="Income_Approach4"/>
      <sheetName val="Comp_Photos4"/>
      <sheetName val="Site_Plan4"/>
      <sheetName val="Property_List4"/>
      <sheetName val="Lien_Structure4"/>
      <sheetName val="LD_全-2_254"/>
      <sheetName val="BS_EX-RATE_2000_11_4"/>
      <sheetName val="Sheet3"/>
      <sheetName val="開發內容假設"/>
      <sheetName val="Appraisal_Summary5"/>
      <sheetName val="Summary_of_Facts5"/>
      <sheetName val="Report_Narrative5"/>
      <sheetName val="Land_&amp;_Cost_Approach5"/>
      <sheetName val="Mkt_Sale_Comp_Approach5"/>
      <sheetName val="Ct_Auc_Comp_Approach5"/>
      <sheetName val="Income_Approach5"/>
      <sheetName val="Comp_Photos5"/>
      <sheetName val="Site_Plan5"/>
      <sheetName val="Property_List5"/>
      <sheetName val="Lien_Structure5"/>
      <sheetName val="LD_全-2_255"/>
      <sheetName val="BS_EX-RATE_2000_11_5"/>
    </sheetNames>
    <sheetDataSet>
      <sheetData sheetId="0" refreshError="1"/>
      <sheetData sheetId="1" refreshError="1"/>
      <sheetData sheetId="2" refreshError="1">
        <row r="5">
          <cell r="E5" t="str">
            <v>REPro</v>
          </cell>
        </row>
        <row r="6">
          <cell r="E6" t="str">
            <v xml:space="preserve">  長燦開發股份有限公司Changcan Construction Co., Ltd.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摘要表"/>
      <sheetName val="不動產價格分戶計算表"/>
      <sheetName val="土地勘估表"/>
      <sheetName val="建物勘估表"/>
      <sheetName val="比較法"/>
      <sheetName val="收益法(x)"/>
      <sheetName val="建物重置成本法"/>
      <sheetName val="土地開發分析法(x)"/>
      <sheetName val="照片"/>
      <sheetName val="位置圖"/>
      <sheetName val="Cadastral and Zoning Map地籍圖都計圖"/>
      <sheetName val="保險費計算參考表"/>
      <sheetName val="db_Appraisal"/>
      <sheetName val="db_Comps"/>
      <sheetName val="controls"/>
      <sheetName val="設定表"/>
      <sheetName val="更新整體開發收益表"/>
      <sheetName val="Datascreen"/>
      <sheetName val="Summary of Facts"/>
      <sheetName val="土地同意比例(951004)"/>
      <sheetName val="土地"/>
      <sheetName val="2004"/>
      <sheetName val="Main"/>
      <sheetName val="獎勵容積"/>
      <sheetName val="銷售假設"/>
      <sheetName val="設計假設"/>
      <sheetName val="標單"/>
      <sheetName val="單價分析"/>
      <sheetName val="拆除計畫"/>
      <sheetName val="基礎資料與審議資料"/>
      <sheetName val="LinkTable"/>
      <sheetName val="施工預算明細表"/>
      <sheetName val="LD_全-2.25"/>
      <sheetName val="menu"/>
      <sheetName val="Cadastral_and_Zoning_Map地籍圖都計圖"/>
      <sheetName val="Summary_of_Facts"/>
      <sheetName val="不同组合模式分析"/>
      <sheetName val="LD_全-2_25"/>
      <sheetName val="Cadastral_and_Zoning_Map地籍圖都計圖1"/>
      <sheetName val="Summary_of_Facts1"/>
      <sheetName val="LD_全-2_251"/>
      <sheetName val="Sheet1"/>
      <sheetName val="資產總明細"/>
      <sheetName val="Cadastral_and_Zoning_Map地籍圖都計圖2"/>
      <sheetName val="Summary_of_Facts2"/>
      <sheetName val="LD_全-2_252"/>
      <sheetName val="序言_荷銀"/>
      <sheetName val="Set Up -inputs"/>
      <sheetName val="Assumptions"/>
      <sheetName val="Cadastral_and_Zoning_Map地籍圖都計圖3"/>
      <sheetName val="Summary_of_Facts3"/>
      <sheetName val="LD_全-2_253"/>
      <sheetName val="Cadastral_and_Zoning_Map地籍圖都計圖4"/>
      <sheetName val="Summary_of_Facts4"/>
      <sheetName val="LD_全-2_254"/>
      <sheetName val="Cadastral_and_Zoning_Map地籍圖都計圖5"/>
      <sheetName val="Summary_of_Facts5"/>
      <sheetName val="LD_全-2_255"/>
    </sheetNames>
    <sheetDataSet>
      <sheetData sheetId="0"/>
      <sheetData sheetId="1">
        <row r="15">
          <cell r="N15">
            <v>26303.840000000004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sheetData sheetId="39" refreshError="1"/>
      <sheetData sheetId="40" refreshError="1"/>
      <sheetData sheetId="41" refreshError="1"/>
      <sheetData sheetId="42" refreshError="1"/>
      <sheetData sheetId="43" refreshError="1"/>
      <sheetData sheetId="44"/>
      <sheetData sheetId="45"/>
      <sheetData sheetId="46"/>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總表"/>
      <sheetName val="封面"/>
      <sheetName val="摘要表"/>
      <sheetName val="不動產價格分戶計算表"/>
      <sheetName val="比較法"/>
      <sheetName val="土地開發分析法"/>
      <sheetName val="收益法(X)"/>
      <sheetName val="建物重置成本法"/>
      <sheetName val="土地勘估表"/>
      <sheetName val="建物勘估表(X)"/>
      <sheetName val="設定表"/>
      <sheetName val="照片"/>
      <sheetName val="位置圖"/>
      <sheetName val="Cadastral and Zoning Map地籍圖都計圖"/>
      <sheetName val="保險費計算參考表"/>
      <sheetName val="db_Appraisal"/>
      <sheetName val="db_Comps"/>
      <sheetName val="controls"/>
      <sheetName val="9207物價指數"/>
      <sheetName val="更新整體開發收益表"/>
      <sheetName val="Datascreen"/>
      <sheetName val="拆除計畫"/>
      <sheetName val="基礎資料與審議資料"/>
      <sheetName val="車位填表"/>
      <sheetName val="連結檔"/>
      <sheetName val="摘要"/>
      <sheetName val="單價分析"/>
      <sheetName val="Assumptions"/>
      <sheetName val="LD_全-2.25"/>
      <sheetName val="施工預算明細表"/>
      <sheetName val="Sheet1"/>
      <sheetName val="Summary of Facts"/>
      <sheetName val="menu"/>
      <sheetName val="#REF"/>
      <sheetName val="計算檢核"/>
      <sheetName val="安全驗證"/>
      <sheetName val="代碼檔"/>
      <sheetName val="Cadastral_and_Zoning_Map地籍圖都計圖"/>
      <sheetName val="LD_全-2_25"/>
      <sheetName val="土地鑑定表"/>
      <sheetName val="Hyperion"/>
      <sheetName val="Inputs"/>
      <sheetName val="土地同意比例(951004)"/>
      <sheetName val="Cadastral_and_Zoning_Map地籍圖都計圖1"/>
      <sheetName val="LD_全-2_251"/>
      <sheetName val="Summary_of_Fact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假設工程"/>
      <sheetName val="標單"/>
      <sheetName val="投標標價呈核表"/>
      <sheetName val="開標結果"/>
      <sheetName val="摘要表"/>
      <sheetName val="LD_全-2.25"/>
      <sheetName val="單價分析"/>
      <sheetName val="團險職團人"/>
      <sheetName val="更新整體開發收益表"/>
      <sheetName val="摘要"/>
      <sheetName val="Datascreen"/>
      <sheetName val="LD_全-2_25"/>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高雄縣"/>
      <sheetName val="比較案例"/>
      <sheetName val="C211 - 照片"/>
      <sheetName val="C211 - 位置圖"/>
      <sheetName val="摘要表"/>
      <sheetName val="Datascreen"/>
      <sheetName val="標單"/>
      <sheetName val="Cash Flow"/>
      <sheetName val="Summary"/>
      <sheetName val="更新整體開發收益表"/>
      <sheetName val="Sheet D-3"/>
      <sheetName val="최초 (2)"/>
      <sheetName val="단서적용"/>
      <sheetName val="총괄표"/>
      <sheetName val="Physical"/>
      <sheetName val="Total_list"/>
      <sheetName val="단서적용요약"/>
      <sheetName val="LD_全-2.25"/>
      <sheetName val="土地"/>
      <sheetName val="Sheet1"/>
      <sheetName val="C211_-_照片"/>
      <sheetName val="C211_-_位置圖"/>
      <sheetName val="Cash_Flow"/>
      <sheetName val="4Line-sum"/>
      <sheetName val="LinkTable"/>
      <sheetName val="Datatape"/>
      <sheetName val="menu"/>
      <sheetName val="AREA"/>
      <sheetName val="Ass."/>
      <sheetName val="#REF!"/>
      <sheetName val="團險職團人"/>
      <sheetName val="C211_-_照片1"/>
      <sheetName val="C211_-_位置圖1"/>
      <sheetName val="Cash_Flow1"/>
      <sheetName val="Sheet_D-3"/>
      <sheetName val="최초_(2)"/>
      <sheetName val="LD_全-2_25"/>
      <sheetName val="Ass_"/>
      <sheetName val="WBS IO"/>
      <sheetName val="表07(總計)"/>
      <sheetName val="表06"/>
      <sheetName val="C211_-_照片2"/>
      <sheetName val="C211_-_位置圖2"/>
      <sheetName val="Cash_Flow2"/>
      <sheetName val="LD_全-2_251"/>
      <sheetName val="Ass_1"/>
      <sheetName val="Sheet_D-31"/>
      <sheetName val="최초_(2)1"/>
      <sheetName val="C211_-_照片3"/>
      <sheetName val="C211_-_位置圖3"/>
      <sheetName val="Cash_Flow3"/>
      <sheetName val="LD_全-2_252"/>
      <sheetName val="Ass_2"/>
      <sheetName val="Sheet_D-32"/>
      <sheetName val="최초_(2)2"/>
      <sheetName val="C211_-_照片4"/>
      <sheetName val="C211_-_位置圖4"/>
      <sheetName val="Cash_Flow4"/>
      <sheetName val="LD_全-2_253"/>
      <sheetName val="Ass_3"/>
      <sheetName val="Sheet_D-33"/>
      <sheetName val="최초_(2)3"/>
    </sheetNames>
    <sheetDataSet>
      <sheetData sheetId="0" refreshError="1">
        <row r="3">
          <cell r="B3" t="str">
            <v>商業 - 辦公室</v>
          </cell>
        </row>
        <row r="4">
          <cell r="B4" t="str">
            <v>商業 - 零售</v>
          </cell>
        </row>
        <row r="5">
          <cell r="B5" t="str">
            <v>商業 - 停車場</v>
          </cell>
        </row>
        <row r="6">
          <cell r="B6" t="str">
            <v>商業 - 娛樂設施</v>
          </cell>
        </row>
        <row r="7">
          <cell r="B7" t="str">
            <v>商業 - 百貨公司</v>
          </cell>
        </row>
        <row r="8">
          <cell r="B8" t="str">
            <v>商業 - 混合式商業用途</v>
          </cell>
        </row>
        <row r="9">
          <cell r="B9" t="str">
            <v>商業 - 其他</v>
          </cell>
        </row>
        <row r="11">
          <cell r="B11" t="str">
            <v>住家 - 獨棟住宅</v>
          </cell>
        </row>
        <row r="12">
          <cell r="B12" t="str">
            <v>住家 - 透天</v>
          </cell>
        </row>
        <row r="13">
          <cell r="B13" t="str">
            <v>住家 - 樓店住</v>
          </cell>
        </row>
        <row r="14">
          <cell r="B14" t="str">
            <v>住家 - 公寓式住宅</v>
          </cell>
        </row>
        <row r="15">
          <cell r="B15" t="str">
            <v>住家 - 集合式住宅</v>
          </cell>
        </row>
        <row r="16">
          <cell r="B16" t="str">
            <v>住家 - 混合式住宅</v>
          </cell>
        </row>
        <row r="17">
          <cell r="B17" t="str">
            <v>住家 - 其他</v>
          </cell>
        </row>
        <row r="19">
          <cell r="B19" t="str">
            <v>飯店 - 4-5 星級</v>
          </cell>
        </row>
        <row r="20">
          <cell r="B20" t="str">
            <v>飯店 - 1-3 星級</v>
          </cell>
        </row>
        <row r="22">
          <cell r="B22" t="str">
            <v>高爾夫球場 - 18 洞</v>
          </cell>
        </row>
        <row r="23">
          <cell r="B23" t="str">
            <v>高爾夫球場 - 非18 洞</v>
          </cell>
        </row>
        <row r="25">
          <cell r="B25" t="str">
            <v>工業 - 傳統產業</v>
          </cell>
        </row>
        <row r="26">
          <cell r="B26" t="str">
            <v>工業 - 高科技產業</v>
          </cell>
        </row>
        <row r="27">
          <cell r="B27" t="str">
            <v>工業 - 物流設施</v>
          </cell>
        </row>
        <row r="28">
          <cell r="B28" t="str">
            <v>工業 - 研發設施</v>
          </cell>
        </row>
        <row r="29">
          <cell r="B29" t="str">
            <v>工業 - 農業用途</v>
          </cell>
        </row>
        <row r="30">
          <cell r="B30" t="str">
            <v>工業 - 其他</v>
          </cell>
        </row>
        <row r="32">
          <cell r="B32" t="str">
            <v>土地 - 工業用地</v>
          </cell>
        </row>
        <row r="33">
          <cell r="B33" t="str">
            <v>土地 - 住宅用地</v>
          </cell>
        </row>
        <row r="34">
          <cell r="B34" t="str">
            <v>土地 - 商業用地</v>
          </cell>
        </row>
        <row r="35">
          <cell r="B35" t="str">
            <v>土地 - 農業用地</v>
          </cell>
        </row>
        <row r="36">
          <cell r="B36" t="str">
            <v>土地 - 漁塭</v>
          </cell>
        </row>
        <row r="37">
          <cell r="B37" t="str">
            <v>土地 - 山坡地</v>
          </cell>
        </row>
        <row r="38">
          <cell r="B38" t="str">
            <v>土地 - 公園用地</v>
          </cell>
        </row>
        <row r="39">
          <cell r="B39" t="str">
            <v>土地 - 停車場用地</v>
          </cell>
        </row>
        <row r="40">
          <cell r="B40" t="str">
            <v>土地 - 道路用地</v>
          </cell>
        </row>
        <row r="41">
          <cell r="B41" t="str">
            <v>土地 - 遊憩用地</v>
          </cell>
        </row>
        <row r="42">
          <cell r="B42" t="str">
            <v>土地 - 保育地</v>
          </cell>
        </row>
        <row r="43">
          <cell r="B43" t="str">
            <v>土地 - 其他用地</v>
          </cell>
        </row>
        <row r="45">
          <cell r="B45" t="str">
            <v>其他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orate CF 1"/>
      <sheetName val="CL1"/>
      <sheetName val="CL2"/>
      <sheetName val="CL3"/>
      <sheetName val="CL4"/>
      <sheetName val="CL5"/>
      <sheetName val="CL6"/>
      <sheetName val="CL7"/>
      <sheetName val="CL8"/>
      <sheetName val="CL9"/>
      <sheetName val="CL10"/>
      <sheetName val="CF1"/>
      <sheetName val="CF2"/>
      <sheetName val="CF4"/>
      <sheetName val="CF3"/>
      <sheetName val="CF5"/>
      <sheetName val="CF6"/>
      <sheetName val="CF7"/>
      <sheetName val="CF8"/>
      <sheetName val="CF9"/>
      <sheetName val="CF10"/>
      <sheetName val="CCF1"/>
      <sheetName val="CCF2"/>
      <sheetName val="CCF3"/>
      <sheetName val="CCF4"/>
      <sheetName val="CCF5"/>
      <sheetName val="Land List"/>
      <sheetName val="Building List"/>
      <sheetName val="Lien Chart"/>
      <sheetName val="Total Cashflow"/>
      <sheetName val="Construction in progress 1"/>
      <sheetName val="Construction in progress 2"/>
      <sheetName val="GE Price_Mon CF Breakdown"/>
      <sheetName val="GE Price_CF Borr Level"/>
      <sheetName val="Roll-Up"/>
      <sheetName val="controls"/>
      <sheetName val="摘要表"/>
      <sheetName val="List"/>
      <sheetName val="土地"/>
      <sheetName val="Summary"/>
      <sheetName val="連結檔"/>
      <sheetName val="標單"/>
      <sheetName val="sch15-1(Sep03)"/>
      <sheetName val="代碼檔"/>
      <sheetName val="摘要"/>
      <sheetName val="更新整體開發收益表"/>
      <sheetName val="報告內容"/>
      <sheetName val="土估表"/>
      <sheetName val="建估表"/>
      <sheetName val="Collateral"/>
      <sheetName val="Coporate_CF_1"/>
      <sheetName val="Land_List"/>
      <sheetName val="Building_List"/>
      <sheetName val="Lien_Chart"/>
      <sheetName val="Total_Cashflow"/>
      <sheetName val="Construction_in_progress_1"/>
      <sheetName val="Construction_in_progress_2"/>
      <sheetName val="GE_Price_Mon_CF_Breakdown"/>
      <sheetName val="GE_Price_CF_Borr_Level"/>
      <sheetName val="#REF!"/>
      <sheetName val="LD_全-2.25"/>
      <sheetName val="menu"/>
      <sheetName val="Journal97"/>
      <sheetName val="基礎資料與審議資料"/>
      <sheetName val="Sheet1"/>
      <sheetName val="400%土開分析"/>
      <sheetName val="表13-1"/>
      <sheetName val="LinkTable"/>
      <sheetName val="Coporate_CF_11"/>
      <sheetName val="Land_List1"/>
      <sheetName val="Building_List1"/>
      <sheetName val="Lien_Chart1"/>
      <sheetName val="Total_Cashflow1"/>
      <sheetName val="Construction_in_progress_11"/>
      <sheetName val="Construction_in_progress_21"/>
      <sheetName val="GE_Price_Mon_CF_Breakdown1"/>
      <sheetName val="GE_Price_CF_Borr_Level1"/>
      <sheetName val="LD_全-2_25"/>
      <sheetName val="Coporate_CF_12"/>
      <sheetName val="Land_List2"/>
      <sheetName val="Building_List2"/>
      <sheetName val="Lien_Chart2"/>
      <sheetName val="Total_Cashflow2"/>
      <sheetName val="Construction_in_progress_12"/>
      <sheetName val="Construction_in_progress_22"/>
      <sheetName val="GE_Price_Mon_CF_Breakdown2"/>
      <sheetName val="GE_Price_CF_Borr_Level2"/>
      <sheetName val="LD_全-2_251"/>
      <sheetName val="Coporate_CF_13"/>
      <sheetName val="Land_List3"/>
      <sheetName val="Building_List3"/>
      <sheetName val="Lien_Chart3"/>
      <sheetName val="Total_Cashflow3"/>
      <sheetName val="Construction_in_progress_13"/>
      <sheetName val="Construction_in_progress_23"/>
      <sheetName val="GE_Price_Mon_CF_Breakdown3"/>
      <sheetName val="GE_Price_CF_Borr_Level3"/>
      <sheetName val="LD_全-2_252"/>
      <sheetName val="AREA"/>
      <sheetName val="Coporate_CF_14"/>
      <sheetName val="Land_List4"/>
      <sheetName val="Building_List4"/>
      <sheetName val="Lien_Chart4"/>
      <sheetName val="Total_Cashflow4"/>
      <sheetName val="Construction_in_progress_14"/>
      <sheetName val="Construction_in_progress_24"/>
      <sheetName val="GE_Price_Mon_CF_Breakdown4"/>
      <sheetName val="GE_Price_CF_Borr_Level4"/>
      <sheetName val="LD_全-2_25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5">
          <cell r="C5" t="str">
            <v>LVIT 50%</v>
          </cell>
        </row>
        <row r="8">
          <cell r="C8" t="str">
            <v>LVIT 50%</v>
          </cell>
        </row>
        <row r="11">
          <cell r="C11" t="str">
            <v>LVIT 50%</v>
          </cell>
        </row>
        <row r="14">
          <cell r="C14" t="str">
            <v>LVIT 50%</v>
          </cell>
        </row>
        <row r="17">
          <cell r="C17" t="str">
            <v>LVIT 50%</v>
          </cell>
        </row>
        <row r="20">
          <cell r="C20" t="str">
            <v>LVIT 50%</v>
          </cell>
        </row>
        <row r="23">
          <cell r="C23" t="str">
            <v>LVIT 50%</v>
          </cell>
        </row>
        <row r="26">
          <cell r="C26" t="str">
            <v>LVIT 50%</v>
          </cell>
        </row>
        <row r="29">
          <cell r="C29" t="str">
            <v>LVIT 50%</v>
          </cell>
        </row>
        <row r="32">
          <cell r="C32" t="str">
            <v>LVIT 50%</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專案編號"/>
      <sheetName val="menu"/>
      <sheetName val="複委託"/>
      <sheetName val="複委簡稱"/>
      <sheetName val="公會設計費"/>
      <sheetName val="市公會酬金"/>
      <sheetName val="市公會工程造價"/>
      <sheetName val="拜訪名單"/>
      <sheetName val="地號"/>
      <sheetName val="建號"/>
      <sheetName val="Datascreen"/>
      <sheetName val="controls"/>
      <sheetName val="單價分析"/>
      <sheetName val="摘要表"/>
      <sheetName val="土地"/>
      <sheetName val="合法拆補"/>
      <sheetName val="拆除計畫"/>
      <sheetName val="標單"/>
      <sheetName val="現地安置面積與應分配價值計算表"/>
      <sheetName val="Main"/>
      <sheetName val="COST1_3"/>
      <sheetName val="CostSchedule"/>
      <sheetName val="更新整體開發收益表"/>
      <sheetName val="Summary"/>
      <sheetName val="歸地-106.11.07"/>
      <sheetName val="歸人-106.11.07"/>
      <sheetName val="更新後評估-106.11.07"/>
      <sheetName val="歸地-106_11_07"/>
      <sheetName val="歸人-106_11_07"/>
      <sheetName val="更新後評估-106_11_07"/>
      <sheetName val="表1個別因素清冊格式"/>
      <sheetName val="表1-1共有土地共有人及對應持分附表 "/>
      <sheetName val="表2工程範圍區段勘查表"/>
      <sheetName val="表3比較標的1.2.3區段勘查表"/>
      <sheetName val="表3-1買賣實例1-建物"/>
      <sheetName val="表4-1買賣實例2-建物"/>
      <sheetName val="表5-1買賣實例3-建物"/>
      <sheetName val="表1-3買賣實例4-建物"/>
      <sheetName val="94表2收益法 "/>
      <sheetName val="96表5-1區域因素明細表(住)"/>
      <sheetName val="98表5-3區域因素明細表(工)"/>
      <sheetName val="99表5-4區域因素明細表(農)"/>
      <sheetName val="100表5-5區域因素明細表(其他) "/>
      <sheetName val="表7比準地1比較法調查估價表"/>
      <sheetName val="104表10宗地市價清冊"/>
      <sheetName val="102表6宗地市價估計表格式"/>
      <sheetName val="表4比較標的12的區段勘查表 "/>
      <sheetName val="表3-1買賣實例1-建物 (2)"/>
      <sheetName val="表4-1買賣實例2-建物 (2"/>
      <sheetName val="表5比較標的3區段勘查表  (2"/>
      <sheetName val="表5-1買賣實例3-建物(2"/>
      <sheetName val="表6區域因素明細表(住) (2)"/>
      <sheetName val="表7比準地2比較法調查估價表 (2)"/>
      <sheetName val="表10比準地地價估計表"/>
      <sheetName val="表11公設平均(一般)"/>
      <sheetName val="表12宗地市價評議表"/>
      <sheetName val="地價區段及買賣實例位置圖"/>
      <sheetName val="工作表3"/>
      <sheetName val="成本(1823)"/>
      <sheetName val="총괄표"/>
      <sheetName val="Sheet D-3"/>
      <sheetName val="최초 (2)"/>
      <sheetName val="단서적용"/>
      <sheetName val="Physical"/>
      <sheetName val="Total_list"/>
      <sheetName val="단서적용요약"/>
      <sheetName val="面積計算表H66A"/>
      <sheetName val="土地鑑定表"/>
      <sheetName val="LD_全-2.25"/>
      <sheetName val="Summary of Facts"/>
      <sheetName val="土地同意比例(951004)"/>
      <sheetName val="基礎資料與審議資料"/>
      <sheetName val="Assumptions"/>
      <sheetName val="表07(總計)"/>
      <sheetName val="表06"/>
      <sheetName val="土地增值稅"/>
      <sheetName val="INFO"/>
      <sheetName val="Sheet1"/>
      <sheetName val="M38耗料分析表"/>
      <sheetName val="Journal97"/>
      <sheetName val="分區"/>
      <sheetName val="LSHK_Cash"/>
      <sheetName val="Facility"/>
      <sheetName val="LSHK_WK_FORECAST"/>
      <sheetName val="MFG聚餐"/>
      <sheetName val="9207物價指數"/>
      <sheetName val="獎勵容積"/>
      <sheetName val="銷售假設"/>
      <sheetName val="設計假設"/>
      <sheetName val="BS EX-RATE 2000.11 "/>
      <sheetName val="表02(負債業主權益)"/>
      <sheetName val="Index"/>
      <sheetName val="Collateral"/>
      <sheetName val="團險職團人"/>
    </sheetNames>
    <sheetDataSet>
      <sheetData sheetId="0"/>
      <sheetData sheetId="1" refreshError="1">
        <row r="1">
          <cell r="B1" t="str">
            <v>昭凌</v>
          </cell>
          <cell r="C1" t="str">
            <v>科技</v>
          </cell>
          <cell r="D1" t="str">
            <v>永俊</v>
          </cell>
          <cell r="E1" t="str">
            <v>宗誠</v>
          </cell>
          <cell r="F1" t="str">
            <v>高捷</v>
          </cell>
          <cell r="G1" t="str">
            <v>東鋒</v>
          </cell>
          <cell r="H1" t="str">
            <v>王大衡</v>
          </cell>
          <cell r="I1" t="str">
            <v>捷統</v>
          </cell>
          <cell r="J1" t="str">
            <v>超偉</v>
          </cell>
          <cell r="K1" t="str">
            <v>崇業</v>
          </cell>
          <cell r="L1" t="str">
            <v>建業</v>
          </cell>
          <cell r="M1" t="str">
            <v>楊富勝</v>
          </cell>
          <cell r="N1" t="str">
            <v>王森源</v>
          </cell>
          <cell r="O1" t="str">
            <v>建巨</v>
          </cell>
          <cell r="P1" t="str">
            <v>陳水心</v>
          </cell>
          <cell r="Q1" t="str">
            <v>美商馬田黃</v>
          </cell>
          <cell r="R1" t="str">
            <v>結構外審</v>
          </cell>
          <cell r="S1" t="str">
            <v>精業</v>
          </cell>
          <cell r="T1" t="str">
            <v>冠鼎</v>
          </cell>
          <cell r="U1" t="str">
            <v>王志誠</v>
          </cell>
          <cell r="V1" t="str">
            <v>鍊成器</v>
          </cell>
          <cell r="W1" t="str">
            <v>賴建誠</v>
          </cell>
          <cell r="X1" t="str">
            <v>佳霖</v>
          </cell>
          <cell r="Y1" t="str">
            <v>李武駿</v>
          </cell>
          <cell r="Z1" t="str">
            <v>胡裕輝</v>
          </cell>
          <cell r="AA1" t="str">
            <v>張文德</v>
          </cell>
          <cell r="AB1" t="str">
            <v>知遠</v>
          </cell>
          <cell r="AC1" t="str">
            <v>長豐</v>
          </cell>
          <cell r="AD1" t="str">
            <v>黃武龍</v>
          </cell>
          <cell r="AE1" t="str">
            <v>山立</v>
          </cell>
          <cell r="AF1" t="str">
            <v>其他</v>
          </cell>
          <cell r="AG1" t="str">
            <v>交建</v>
          </cell>
          <cell r="AH1" t="str">
            <v>中興</v>
          </cell>
          <cell r="AI1" t="str">
            <v>陳村林</v>
          </cell>
          <cell r="AJ1" t="str">
            <v>傑聯</v>
          </cell>
        </row>
        <row r="2">
          <cell r="B2" t="str">
            <v>正弦</v>
          </cell>
          <cell r="C2" t="str">
            <v>陳一坤</v>
          </cell>
          <cell r="D2" t="str">
            <v>鴻源</v>
          </cell>
          <cell r="E2" t="str">
            <v>亮東</v>
          </cell>
          <cell r="F2" t="str">
            <v>格林</v>
          </cell>
          <cell r="G2" t="str">
            <v>泛華</v>
          </cell>
          <cell r="H2" t="str">
            <v>宇聯</v>
          </cell>
          <cell r="I2" t="str">
            <v>國慶</v>
          </cell>
          <cell r="J2" t="str">
            <v>億亨</v>
          </cell>
          <cell r="K2" t="str">
            <v>利洋</v>
          </cell>
          <cell r="L2" t="str">
            <v>正太</v>
          </cell>
          <cell r="M2" t="str">
            <v>正弦電機</v>
          </cell>
          <cell r="N2" t="str">
            <v>漢威</v>
          </cell>
          <cell r="O2" t="str">
            <v>佑明</v>
          </cell>
          <cell r="P2" t="str">
            <v>欣達</v>
          </cell>
          <cell r="Q2" t="str">
            <v>正宜</v>
          </cell>
          <cell r="R2" t="str">
            <v>日意</v>
          </cell>
          <cell r="S2" t="str">
            <v>偉勃</v>
          </cell>
          <cell r="T2" t="str">
            <v>松興</v>
          </cell>
          <cell r="U2" t="str">
            <v>欣菱</v>
          </cell>
          <cell r="V2" t="str">
            <v>築友</v>
          </cell>
          <cell r="W2" t="str">
            <v>翔泰</v>
          </cell>
          <cell r="X2" t="str">
            <v>永晟</v>
          </cell>
          <cell r="Y2" t="str">
            <v>宏立</v>
          </cell>
          <cell r="Z2" t="str">
            <v>宗亞</v>
          </cell>
          <cell r="AA2" t="str">
            <v>大威</v>
          </cell>
          <cell r="AB2" t="str">
            <v>利德</v>
          </cell>
          <cell r="AC2" t="str">
            <v>世技</v>
          </cell>
          <cell r="AD2" t="str">
            <v>忠孝</v>
          </cell>
          <cell r="AE2" t="str">
            <v>巨成</v>
          </cell>
          <cell r="AF2" t="str">
            <v>機亞</v>
          </cell>
          <cell r="AG2" t="str">
            <v>鼎泰工程</v>
          </cell>
          <cell r="AH2" t="str">
            <v>鼎泰電機</v>
          </cell>
          <cell r="AI2" t="str">
            <v>其他</v>
          </cell>
          <cell r="AJ2" t="str">
            <v>中鼎</v>
          </cell>
          <cell r="AK2" t="str">
            <v>明海</v>
          </cell>
          <cell r="AL2" t="str">
            <v>余興中</v>
          </cell>
          <cell r="AM2" t="str">
            <v>宜德</v>
          </cell>
          <cell r="AN2" t="str">
            <v>東光</v>
          </cell>
          <cell r="AO2" t="str">
            <v>力群</v>
          </cell>
          <cell r="AP2" t="str">
            <v>精緯</v>
          </cell>
        </row>
        <row r="4">
          <cell r="B4" t="str">
            <v>聯華</v>
          </cell>
          <cell r="C4" t="str">
            <v>德成</v>
          </cell>
          <cell r="D4" t="str">
            <v>億匠</v>
          </cell>
          <cell r="E4" t="str">
            <v>華谷</v>
          </cell>
          <cell r="F4" t="str">
            <v>京華</v>
          </cell>
          <cell r="G4" t="str">
            <v>李大維</v>
          </cell>
          <cell r="H4" t="str">
            <v>六國</v>
          </cell>
          <cell r="I4" t="str">
            <v>個人</v>
          </cell>
          <cell r="J4" t="str">
            <v>方極</v>
          </cell>
          <cell r="K4" t="str">
            <v>惠普</v>
          </cell>
          <cell r="L4" t="str">
            <v>老圃景觀</v>
          </cell>
          <cell r="M4" t="str">
            <v>陳永明</v>
          </cell>
          <cell r="N4" t="str">
            <v>BCA</v>
          </cell>
          <cell r="O4" t="str">
            <v>BELT COLLI</v>
          </cell>
          <cell r="P4" t="str">
            <v>漢明</v>
          </cell>
          <cell r="Q4" t="str">
            <v>研舍</v>
          </cell>
          <cell r="R4" t="str">
            <v xml:space="preserve"> </v>
          </cell>
          <cell r="S4" t="str">
            <v xml:space="preserve"> </v>
          </cell>
        </row>
        <row r="5">
          <cell r="B5" t="str">
            <v>全功</v>
          </cell>
          <cell r="C5" t="str">
            <v>中聯</v>
          </cell>
          <cell r="D5" t="str">
            <v>福地</v>
          </cell>
          <cell r="E5" t="str">
            <v>安邦</v>
          </cell>
          <cell r="F5" t="str">
            <v>環島</v>
          </cell>
          <cell r="G5" t="str">
            <v>開通</v>
          </cell>
          <cell r="H5" t="str">
            <v>立合</v>
          </cell>
          <cell r="I5" t="str">
            <v>大陸地質</v>
          </cell>
          <cell r="J5" t="str">
            <v>中盛</v>
          </cell>
          <cell r="K5" t="str">
            <v>中基</v>
          </cell>
          <cell r="L5" t="str">
            <v>屏科大</v>
          </cell>
        </row>
        <row r="6">
          <cell r="B6" t="str">
            <v>旗城</v>
          </cell>
          <cell r="C6" t="str">
            <v>國興</v>
          </cell>
          <cell r="D6" t="str">
            <v>良佳</v>
          </cell>
          <cell r="E6" t="str">
            <v>克昌</v>
          </cell>
          <cell r="F6" t="str">
            <v>大華</v>
          </cell>
          <cell r="G6" t="str">
            <v>陳儀德</v>
          </cell>
          <cell r="H6" t="str">
            <v>天中天</v>
          </cell>
          <cell r="I6" t="str">
            <v>世和</v>
          </cell>
          <cell r="J6" t="str">
            <v>鍾木全</v>
          </cell>
          <cell r="K6" t="str">
            <v>格致</v>
          </cell>
          <cell r="L6" t="str">
            <v>大川</v>
          </cell>
          <cell r="M6" t="str">
            <v>中興測量</v>
          </cell>
          <cell r="N6" t="str">
            <v>聯煌</v>
          </cell>
          <cell r="O6" t="str">
            <v>其他</v>
          </cell>
          <cell r="P6" t="str">
            <v>五福</v>
          </cell>
          <cell r="Q6" t="str">
            <v>華興</v>
          </cell>
          <cell r="R6" t="str">
            <v>展洲</v>
          </cell>
        </row>
        <row r="8">
          <cell r="B8" t="str">
            <v>厚儒</v>
          </cell>
          <cell r="C8" t="str">
            <v>全律</v>
          </cell>
          <cell r="D8" t="str">
            <v>佑昇模型</v>
          </cell>
          <cell r="E8" t="str">
            <v>尚品</v>
          </cell>
          <cell r="F8" t="str">
            <v>煌羽</v>
          </cell>
          <cell r="G8" t="str">
            <v>曾淑萍</v>
          </cell>
          <cell r="H8" t="str">
            <v>海格</v>
          </cell>
          <cell r="I8" t="str">
            <v>傑伶</v>
          </cell>
        </row>
        <row r="9">
          <cell r="B9" t="str">
            <v>法利德</v>
          </cell>
          <cell r="C9" t="str">
            <v>張堂賢</v>
          </cell>
          <cell r="D9" t="str">
            <v>王水寶</v>
          </cell>
          <cell r="E9" t="str">
            <v>個人</v>
          </cell>
          <cell r="F9" t="str">
            <v>鼎漢</v>
          </cell>
          <cell r="G9" t="str">
            <v>勝群</v>
          </cell>
          <cell r="H9" t="str">
            <v>韋祐</v>
          </cell>
          <cell r="I9" t="str">
            <v>專技</v>
          </cell>
          <cell r="J9" t="str">
            <v>唐亢</v>
          </cell>
          <cell r="K9" t="str">
            <v>長豐</v>
          </cell>
          <cell r="L9" t="str">
            <v>美商美聯</v>
          </cell>
        </row>
        <row r="10">
          <cell r="B10" t="str">
            <v>九宜</v>
          </cell>
          <cell r="C10" t="str">
            <v>黎明</v>
          </cell>
          <cell r="D10" t="str">
            <v>元大</v>
          </cell>
          <cell r="E10" t="str">
            <v>揚昇</v>
          </cell>
          <cell r="F10" t="str">
            <v>中天</v>
          </cell>
          <cell r="G10" t="str">
            <v>其它</v>
          </cell>
          <cell r="H10" t="str">
            <v>青聯</v>
          </cell>
          <cell r="I10" t="str">
            <v>泰康</v>
          </cell>
          <cell r="J10" t="str">
            <v>淡江大學</v>
          </cell>
          <cell r="K10" t="str">
            <v>富立</v>
          </cell>
        </row>
        <row r="11">
          <cell r="B11" t="str">
            <v>保倫</v>
          </cell>
          <cell r="C11" t="str">
            <v>惟幕牆</v>
          </cell>
          <cell r="D11" t="str">
            <v>ALT</v>
          </cell>
          <cell r="E11" t="str">
            <v>比晰</v>
          </cell>
        </row>
        <row r="12">
          <cell r="B12" t="str">
            <v>陳慶凱</v>
          </cell>
        </row>
        <row r="13">
          <cell r="B13" t="str">
            <v>金鏵</v>
          </cell>
          <cell r="C13" t="str">
            <v>嘉南</v>
          </cell>
          <cell r="D13" t="str">
            <v>金準</v>
          </cell>
          <cell r="E13" t="str">
            <v>竹威</v>
          </cell>
          <cell r="F13" t="str">
            <v>旭婕</v>
          </cell>
        </row>
        <row r="14">
          <cell r="B14" t="str">
            <v>大陸設計院</v>
          </cell>
        </row>
        <row r="15">
          <cell r="B15" t="str">
            <v>江蘇工業</v>
          </cell>
          <cell r="C15" t="str">
            <v>中海</v>
          </cell>
          <cell r="D15" t="str">
            <v>上海科信</v>
          </cell>
          <cell r="E15" t="str">
            <v>江蘇工業</v>
          </cell>
          <cell r="F15" t="str">
            <v>北京鋼鐵</v>
          </cell>
          <cell r="G15" t="str">
            <v>上海敏納</v>
          </cell>
          <cell r="H15" t="str">
            <v>上海松江</v>
          </cell>
          <cell r="I15" t="str">
            <v>南昌有色</v>
          </cell>
        </row>
        <row r="16">
          <cell r="B16" t="str">
            <v>高分所</v>
          </cell>
          <cell r="C16" t="str">
            <v>其他(個人)</v>
          </cell>
          <cell r="D16" t="str">
            <v>鍾文正</v>
          </cell>
          <cell r="E16" t="str">
            <v>雜項</v>
          </cell>
          <cell r="F16" t="str">
            <v>PBI</v>
          </cell>
          <cell r="G16" t="str">
            <v>上海華顧</v>
          </cell>
          <cell r="H16" t="str">
            <v>其他</v>
          </cell>
          <cell r="I16" t="str">
            <v>制震科技</v>
          </cell>
          <cell r="J16" t="str">
            <v>朱有三</v>
          </cell>
        </row>
      </sheetData>
      <sheetData sheetId="2"/>
      <sheetData sheetId="3"/>
      <sheetData sheetId="4" refreshError="1"/>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ssumption"/>
      <sheetName val="Regulatory Compliance Checklist"/>
      <sheetName val="SalesSchedule"/>
      <sheetName val="SalesSchedule (2)"/>
      <sheetName val="LandDevCost"/>
      <sheetName val="CostSchedule"/>
      <sheetName val="XHD_Monthly Model"/>
      <sheetName val="GMACCM_Monthly FS"/>
      <sheetName val="LandComp"/>
      <sheetName val="DevCom"/>
      <sheetName val="DevelopmentComp"/>
      <sheetName val="LTV LTC"/>
      <sheetName val="LAT"/>
      <sheetName val="Sensitivity Analysis"/>
      <sheetName val="LTV LTC DSC"/>
      <sheetName val="ROEC"/>
      <sheetName val="LTV LTC &amp; DSCR Summary"/>
      <sheetName val="Loan Grid"/>
      <sheetName val="Sponsor Analysis"/>
      <sheetName val="Sources&amp;Uses"/>
      <sheetName val=" Sources &amp; Uses to CGL"/>
      <sheetName val="Cash Flow"/>
      <sheetName val="LTV Calculation"/>
      <sheetName val="menu"/>
      <sheetName val="controls"/>
      <sheetName val="摘要表"/>
      <sheetName val="LD_全-2.25"/>
      <sheetName val="報告內容"/>
      <sheetName val="土估表"/>
      <sheetName val="建估表"/>
      <sheetName val="團險職團人"/>
      <sheetName val="총괄표"/>
      <sheetName val="Sheet D-3"/>
      <sheetName val="최초 (2)"/>
      <sheetName val="Physical"/>
      <sheetName val="Total_list"/>
      <sheetName val="Ass."/>
      <sheetName val="標單"/>
      <sheetName val="Datascreen"/>
      <sheetName val="INFO"/>
      <sheetName val="Mapping_Table"/>
      <sheetName val="Sheet1"/>
      <sheetName val="Chart_Jun"/>
      <sheetName val="Cashflow"/>
      <sheetName val="土地"/>
      <sheetName val="分區"/>
      <sheetName val="參數"/>
      <sheetName val="UC Wafer output"/>
      <sheetName val="#REF"/>
      <sheetName val="Appendix Encumbrances"/>
      <sheetName val="土地鑑定表"/>
      <sheetName val="Collateral"/>
      <sheetName val="Assumptions"/>
      <sheetName val="Inputs"/>
      <sheetName val="獎勵容積"/>
      <sheetName val="代碼檔"/>
      <sheetName val="Sheet2"/>
      <sheetName val="銷售假設"/>
      <sheetName val="設計假設"/>
      <sheetName val="Sheet3"/>
      <sheetName val="Sheet4"/>
      <sheetName val="更新整體開發收益表"/>
      <sheetName val="拆除計畫"/>
      <sheetName val="基礎資料與審議資料"/>
      <sheetName val="計算檢核"/>
      <sheetName val="開發內容假設"/>
      <sheetName val="輸入"/>
      <sheetName val="MFG聚餐"/>
      <sheetName val="序言_荷銀"/>
      <sheetName val="Journal97"/>
      <sheetName val="Pricing"/>
      <sheetName val="Income Tax Calc-9703"/>
      <sheetName val="表07(總計)"/>
      <sheetName val="表06"/>
      <sheetName val="Regulatory_Compliance_Checklist"/>
      <sheetName val="SalesSchedule_(2)"/>
      <sheetName val="XHD_Monthly_Model"/>
      <sheetName val="GMACCM_Monthly_FS"/>
      <sheetName val="LTV_LTC"/>
      <sheetName val="Sensitivity_Analysis"/>
      <sheetName val="LTV_LTC_DSC"/>
      <sheetName val="LTV_LTC_&amp;_DSCR_Summary"/>
      <sheetName val="Loan_Grid"/>
      <sheetName val="Sponsor_Analysis"/>
      <sheetName val="_Sources_&amp;_Uses_to_CGL"/>
      <sheetName val="Cash_Flow"/>
      <sheetName val="LTV_Calculation"/>
      <sheetName val="LD_全-2_25"/>
      <sheetName val="Sheet_D-3"/>
      <sheetName val="최초_(2)"/>
      <sheetName val="Ass_"/>
      <sheetName val="Appendix_Encumbrances"/>
      <sheetName val="UC_Wafer_output"/>
      <sheetName val="Income_Tax_Calc-9703"/>
    </sheetNames>
    <sheetDataSet>
      <sheetData sheetId="0" refreshError="1"/>
      <sheetData sheetId="1"/>
      <sheetData sheetId="2" refreshError="1"/>
      <sheetData sheetId="3"/>
      <sheetData sheetId="4"/>
      <sheetData sheetId="5"/>
      <sheetData sheetId="6">
        <row r="210">
          <cell r="F210">
            <v>1000000</v>
          </cell>
        </row>
      </sheetData>
      <sheetData sheetId="7" refreshError="1"/>
      <sheetData sheetId="8" refreshError="1"/>
      <sheetData sheetId="9"/>
      <sheetData sheetId="10" refreshError="1"/>
      <sheetData sheetId="11" refreshError="1"/>
      <sheetData sheetId="12"/>
      <sheetData sheetId="13"/>
      <sheetData sheetId="14" refreshError="1"/>
      <sheetData sheetId="15" refreshError="1"/>
      <sheetData sheetId="16" refreshError="1"/>
      <sheetData sheetId="17"/>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團險職團人"/>
      <sheetName val="收金人件"/>
      <sheetName val="獎勵容積"/>
      <sheetName val="銷售假設"/>
      <sheetName val="設計假設"/>
      <sheetName val="土地"/>
      <sheetName val="CostSchedule"/>
      <sheetName val="menu"/>
      <sheetName val="合建分配"/>
      <sheetName val="規劃方案"/>
      <sheetName val="Inputs"/>
      <sheetName val="Summary"/>
      <sheetName val="SRC-B3U2"/>
      <sheetName val="85預算"/>
      <sheetName val="#REF"/>
      <sheetName val="Datascreen"/>
      <sheetName val="INFO"/>
      <sheetName val="不同组合模式分析"/>
      <sheetName val="現地安置面積與應分配價值計算表"/>
      <sheetName val="9207物價指數"/>
      <sheetName val="controls"/>
      <sheetName val="參數"/>
      <sheetName val="11月費用明細"/>
      <sheetName val="設備-原始"/>
    </sheetNames>
    <sheetDataSet>
      <sheetData sheetId="0" refreshError="1">
        <row r="24">
          <cell r="C24" t="str">
            <v xml:space="preserve">    A  × 1.03 × 1.05／12 × 基數</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Charts"/>
      <sheetName val="财务模型结构"/>
      <sheetName val="不同组合模式分析示例"/>
      <sheetName val="财务模型表单目录"/>
      <sheetName val="不同组合模式分析"/>
      <sheetName val="Asmpt.赞助冠名收入"/>
      <sheetName val="income赞助冠名收入"/>
      <sheetName val="Asmpt.F1说明"/>
      <sheetName val="F1-主要假设"/>
      <sheetName val="F1-收入与成本预测"/>
      <sheetName val="Asmpt.F1"/>
      <sheetName val="P&amp;L.F1"/>
      <sheetName val="V8-主要假设"/>
      <sheetName val="V8-收入与成本预测"/>
      <sheetName val="Asumpt.日常运营公司"/>
      <sheetName val="Asmpt.旅游参观"/>
      <sheetName val="P&amp;L旅游参观"/>
      <sheetName val="Asmpt.出租项目"/>
      <sheetName val="P&amp;L出租项目"/>
      <sheetName val="Asmpt.FRD车队"/>
      <sheetName val="P&amp;L.FRD"/>
      <sheetName val="Asmpt.汽车俱乐"/>
      <sheetName val="P&amp;L卡丁车"/>
      <sheetName val="Asmpt.卡丁车"/>
      <sheetName val="Asmpt.安检中心"/>
      <sheetName val="折旧"/>
      <sheetName val="出租物品分析"/>
      <sheetName val="Asmpt.其它赛事"/>
      <sheetName val="人员支出"/>
      <sheetName val="不同?合模式分析"/>
      <sheetName val="CostSchedule"/>
      <sheetName val="團險職團人"/>
      <sheetName val="menu"/>
      <sheetName val="分攤比例"/>
      <sheetName val="WORKSHEET"/>
      <sheetName val="標單"/>
      <sheetName val="Account Description"/>
      <sheetName val="不同_合模式分析"/>
      <sheetName val="Summary"/>
      <sheetName val="controls"/>
      <sheetName val="LTV Calculation"/>
      <sheetName val="I-98BASE"/>
      <sheetName val="BSIS98"/>
      <sheetName val="Datascreen"/>
      <sheetName val="SRC-B3U2"/>
      <sheetName val="Chart_Jun"/>
      <sheetName val="Portia "/>
      <sheetName val="Inputs"/>
      <sheetName val="土地"/>
      <sheetName val="Income Tax Calc-9703"/>
      <sheetName val="Cashflow"/>
      <sheetName val="MP"/>
      <sheetName val="報告內容"/>
      <sheetName val="土估表"/>
      <sheetName val="建估表"/>
      <sheetName val="建 物 鑑 定 表"/>
      <sheetName val="Appendix Encumbrances"/>
      <sheetName val="LD_全-2.25"/>
      <sheetName val="Summary of Facts"/>
      <sheetName val="Assumptions"/>
      <sheetName val="INFO"/>
      <sheetName val="Cash Flow"/>
      <sheetName val="計算檢核"/>
      <sheetName val="摘要表"/>
      <sheetName val="#REF"/>
      <sheetName val="設備-原始"/>
      <sheetName val="PO AP相關明細"/>
      <sheetName val="資產總明細"/>
      <sheetName val="更新整體開發收益表"/>
      <sheetName val="拆除計畫"/>
      <sheetName val="基礎資料與審議資料"/>
      <sheetName val="memo"/>
      <sheetName val="Sheet1"/>
      <sheetName val="FT"/>
      <sheetName val="參數"/>
      <sheetName val="台南區"/>
      <sheetName val="9207物價指數"/>
      <sheetName val="11月費用明細"/>
      <sheetName val="收金人件"/>
      <sheetName val="Asmpt_赞助冠名收入"/>
      <sheetName val="Asmpt_F1说明"/>
      <sheetName val="Asmpt_F1"/>
      <sheetName val="P&amp;L_F1"/>
      <sheetName val="Asumpt_日常运营公司"/>
      <sheetName val="Asmpt_旅游参观"/>
      <sheetName val="Asmpt_出租项目"/>
      <sheetName val="Asmpt_FRD车队"/>
      <sheetName val="P&amp;L_FRD"/>
      <sheetName val="Asmpt_汽车俱乐"/>
      <sheetName val="Asmpt_卡丁车"/>
      <sheetName val="Asmpt_安检中心"/>
      <sheetName val="Asmpt_其它赛事"/>
      <sheetName val="IS-TNS"/>
      <sheetName val="表07(總計)"/>
      <sheetName val="表06"/>
      <sheetName val="Asmpt_赞助冠名收入1"/>
      <sheetName val="Asmpt_F1说明1"/>
      <sheetName val="Asmpt_F11"/>
      <sheetName val="P&amp;L_F11"/>
      <sheetName val="Asumpt_日常运营公司1"/>
      <sheetName val="Asmpt_旅游参观1"/>
      <sheetName val="Asmpt_出租项目1"/>
      <sheetName val="Asmpt_FRD车队1"/>
      <sheetName val="P&amp;L_FRD1"/>
      <sheetName val="Asmpt_汽车俱乐1"/>
      <sheetName val="Asmpt_卡丁车1"/>
      <sheetName val="Asmpt_安检中心1"/>
      <sheetName val="Asmpt_其它赛事1"/>
      <sheetName val="建_物_鑑_定_表"/>
      <sheetName val="Appendix_Encumbrances"/>
      <sheetName val="LD_全-2_25"/>
      <sheetName val="Summary_of_Facts"/>
      <sheetName val="LTV_Calculation"/>
      <sheetName val="Cash_Flow"/>
      <sheetName val="Portia_"/>
      <sheetName val="Income_Tax_Calc-9703"/>
      <sheetName val="Account_Description"/>
      <sheetName val="PO_AP相關明細"/>
      <sheetName val="聯合貢獻 "/>
    </sheetNames>
    <sheetDataSet>
      <sheetData sheetId="0"/>
      <sheetData sheetId="1"/>
      <sheetData sheetId="2"/>
      <sheetData sheetId="3"/>
      <sheetData sheetId="4">
        <row r="113">
          <cell r="C113">
            <v>2003</v>
          </cell>
          <cell r="D113" t="str">
            <v>2004</v>
          </cell>
          <cell r="E113" t="str">
            <v>2005</v>
          </cell>
          <cell r="F113" t="str">
            <v>2006</v>
          </cell>
          <cell r="G113" t="str">
            <v>2007</v>
          </cell>
          <cell r="H113" t="str">
            <v>2008</v>
          </cell>
          <cell r="I113">
            <v>0</v>
          </cell>
          <cell r="J113">
            <v>0</v>
          </cell>
          <cell r="K113" t="str">
            <v>2009</v>
          </cell>
          <cell r="L113" t="str">
            <v>2010</v>
          </cell>
        </row>
        <row r="115">
          <cell r="B115" t="str">
            <v>票务收入</v>
          </cell>
          <cell r="C115">
            <v>68.791862999999992</v>
          </cell>
          <cell r="D115">
            <v>85.49897900000002</v>
          </cell>
          <cell r="E115">
            <v>91.057486300000022</v>
          </cell>
          <cell r="F115">
            <v>75.922656000000003</v>
          </cell>
          <cell r="G115">
            <v>85.613347443089651</v>
          </cell>
          <cell r="H115">
            <v>96.266175938605741</v>
          </cell>
          <cell r="I115">
            <v>0</v>
          </cell>
          <cell r="J115">
            <v>0</v>
          </cell>
          <cell r="K115">
            <v>106.49868176921073</v>
          </cell>
          <cell r="L115">
            <v>108.62865540459497</v>
          </cell>
        </row>
        <row r="116">
          <cell r="B116" t="str">
            <v>广告收入</v>
          </cell>
          <cell r="C116">
            <v>49.185421000000005</v>
          </cell>
          <cell r="D116">
            <v>63.692743</v>
          </cell>
          <cell r="E116">
            <v>72.618801669549526</v>
          </cell>
          <cell r="F116">
            <v>55.104613333333333</v>
          </cell>
          <cell r="G116">
            <v>62.454082963590977</v>
          </cell>
          <cell r="H116">
            <v>70.674316648529611</v>
          </cell>
          <cell r="I116">
            <v>0</v>
          </cell>
          <cell r="J116">
            <v>0</v>
          </cell>
          <cell r="K116">
            <v>79.279058091333042</v>
          </cell>
          <cell r="L116">
            <v>80.927678773353193</v>
          </cell>
        </row>
        <row r="117">
          <cell r="B117" t="str">
            <v>餐饮零售收入</v>
          </cell>
          <cell r="C117">
            <v>11.548441999999996</v>
          </cell>
          <cell r="D117">
            <v>11.571236000000019</v>
          </cell>
          <cell r="E117">
            <v>6.8266846304504867</v>
          </cell>
          <cell r="F117">
            <v>12.109376000000001</v>
          </cell>
          <cell r="G117">
            <v>12.720418041277332</v>
          </cell>
          <cell r="H117">
            <v>13.85502937370636</v>
          </cell>
          <cell r="I117">
            <v>0</v>
          </cell>
          <cell r="J117">
            <v>0</v>
          </cell>
          <cell r="K117">
            <v>14.235963450180426</v>
          </cell>
          <cell r="L117">
            <v>14.457643198990564</v>
          </cell>
        </row>
        <row r="118">
          <cell r="B118" t="str">
            <v>出租收入</v>
          </cell>
          <cell r="C118">
            <v>10.986441999999995</v>
          </cell>
          <cell r="D118">
            <v>10.502236000000019</v>
          </cell>
          <cell r="E118">
            <v>5.6426846304504874</v>
          </cell>
          <cell r="F118">
            <v>10.762042666666666</v>
          </cell>
          <cell r="G118">
            <v>10.856824616959745</v>
          </cell>
          <cell r="H118">
            <v>12.081379824413581</v>
          </cell>
          <cell r="I118">
            <v>0</v>
          </cell>
          <cell r="J118">
            <v>0</v>
          </cell>
          <cell r="K118">
            <v>12.45169903247956</v>
          </cell>
          <cell r="L118">
            <v>12.66002587289986</v>
          </cell>
        </row>
        <row r="119">
          <cell r="B119" t="str">
            <v>赛车节收入</v>
          </cell>
          <cell r="C119">
            <v>7.2984419999999952</v>
          </cell>
          <cell r="D119">
            <v>5.4802360000000192</v>
          </cell>
          <cell r="E119">
            <v>3.5846846304504871</v>
          </cell>
          <cell r="F119">
            <v>7.183376</v>
          </cell>
          <cell r="G119">
            <v>7.2880208780892266</v>
          </cell>
          <cell r="H119">
            <v>8.113733162151842</v>
          </cell>
          <cell r="I119">
            <v>0</v>
          </cell>
          <cell r="J119">
            <v>0</v>
          </cell>
          <cell r="K119">
            <v>8.374238017577202</v>
          </cell>
          <cell r="L119">
            <v>8.5212644153585426</v>
          </cell>
        </row>
        <row r="120">
          <cell r="B120" t="str">
            <v>停车费收入</v>
          </cell>
          <cell r="C120">
            <v>7.383383000000002</v>
          </cell>
          <cell r="D120">
            <v>6.6393799999999903</v>
          </cell>
          <cell r="E120">
            <v>7.0311879999999949</v>
          </cell>
          <cell r="F120">
            <v>2.2144960000000142</v>
          </cell>
          <cell r="G120">
            <v>1.8905182321560332</v>
          </cell>
          <cell r="H120">
            <v>3.5737388632019167</v>
          </cell>
          <cell r="I120">
            <v>0</v>
          </cell>
          <cell r="J120">
            <v>0</v>
          </cell>
          <cell r="K120">
            <v>3.8546487554905173</v>
          </cell>
          <cell r="L120">
            <v>4.7907141073101434</v>
          </cell>
        </row>
        <row r="121">
          <cell r="B121" t="str">
            <v>Note: NPAT is before deducting minority interests</v>
          </cell>
        </row>
        <row r="123">
          <cell r="B123" t="str">
            <v>主营业务收入</v>
          </cell>
          <cell r="C123">
            <v>68.791862999999992</v>
          </cell>
          <cell r="D123">
            <v>85.49897900000002</v>
          </cell>
          <cell r="E123">
            <v>91.057486300000022</v>
          </cell>
          <cell r="F123">
            <v>75.922656000000003</v>
          </cell>
          <cell r="G123">
            <v>85.613347443089651</v>
          </cell>
          <cell r="H123">
            <v>96.266175938605741</v>
          </cell>
          <cell r="I123">
            <v>0</v>
          </cell>
          <cell r="J123">
            <v>0</v>
          </cell>
          <cell r="K123">
            <v>106.49868176921073</v>
          </cell>
          <cell r="L123">
            <v>108.62865540459497</v>
          </cell>
        </row>
        <row r="124">
          <cell r="B124" t="str">
            <v>主营业务成本</v>
          </cell>
          <cell r="C124">
            <v>49.185421000000005</v>
          </cell>
          <cell r="D124">
            <v>63.692743</v>
          </cell>
          <cell r="E124">
            <v>72.618801669549526</v>
          </cell>
          <cell r="F124">
            <v>55.104613333333333</v>
          </cell>
          <cell r="G124">
            <v>62.454082963590977</v>
          </cell>
          <cell r="H124">
            <v>70.674316648529611</v>
          </cell>
          <cell r="I124">
            <v>0</v>
          </cell>
          <cell r="J124">
            <v>0</v>
          </cell>
          <cell r="K124">
            <v>79.279058091333042</v>
          </cell>
          <cell r="L124">
            <v>80.927678773353193</v>
          </cell>
        </row>
        <row r="125">
          <cell r="B125" t="str">
            <v>息税折旧摊销前利润</v>
          </cell>
          <cell r="C125">
            <v>11.548441999999996</v>
          </cell>
          <cell r="D125">
            <v>11.571236000000019</v>
          </cell>
          <cell r="E125">
            <v>6.8266846304504867</v>
          </cell>
          <cell r="F125">
            <v>12.109376000000001</v>
          </cell>
          <cell r="G125">
            <v>12.720418041277332</v>
          </cell>
          <cell r="H125">
            <v>13.85502937370636</v>
          </cell>
          <cell r="I125">
            <v>0</v>
          </cell>
          <cell r="J125">
            <v>0</v>
          </cell>
          <cell r="K125">
            <v>14.235963450180426</v>
          </cell>
          <cell r="L125">
            <v>14.457643198990564</v>
          </cell>
        </row>
        <row r="126">
          <cell r="B126" t="str">
            <v>息税前利润</v>
          </cell>
          <cell r="C126">
            <v>10.986441999999995</v>
          </cell>
          <cell r="D126">
            <v>10.502236000000019</v>
          </cell>
          <cell r="E126">
            <v>5.6426846304504874</v>
          </cell>
          <cell r="F126">
            <v>10.762042666666666</v>
          </cell>
          <cell r="G126">
            <v>10.856824616959745</v>
          </cell>
          <cell r="H126">
            <v>12.081379824413581</v>
          </cell>
          <cell r="I126">
            <v>0</v>
          </cell>
          <cell r="J126">
            <v>0</v>
          </cell>
          <cell r="K126">
            <v>12.45169903247956</v>
          </cell>
          <cell r="L126">
            <v>12.66002587289986</v>
          </cell>
        </row>
        <row r="127">
          <cell r="B127" t="str">
            <v>税后净利润</v>
          </cell>
          <cell r="C127">
            <v>7.2984419999999952</v>
          </cell>
          <cell r="D127">
            <v>5.4802360000000192</v>
          </cell>
          <cell r="E127">
            <v>3.5846846304504871</v>
          </cell>
          <cell r="F127">
            <v>7.183376</v>
          </cell>
          <cell r="G127">
            <v>7.2880208780892266</v>
          </cell>
          <cell r="H127">
            <v>8.113733162151842</v>
          </cell>
          <cell r="I127">
            <v>0</v>
          </cell>
          <cell r="J127">
            <v>0</v>
          </cell>
          <cell r="K127">
            <v>8.374238017577202</v>
          </cell>
          <cell r="L127">
            <v>8.5212644153585426</v>
          </cell>
        </row>
        <row r="130">
          <cell r="B130" t="str">
            <v>主营业务收入</v>
          </cell>
          <cell r="C130">
            <v>102.17236100000001</v>
          </cell>
          <cell r="D130">
            <v>102.073499</v>
          </cell>
          <cell r="E130">
            <v>140.99703500000001</v>
          </cell>
          <cell r="F130">
            <v>127.37656800000001</v>
          </cell>
          <cell r="G130">
            <v>155.70041105920217</v>
          </cell>
          <cell r="H130">
            <v>183.76672401644393</v>
          </cell>
          <cell r="I130">
            <v>0</v>
          </cell>
          <cell r="J130">
            <v>0</v>
          </cell>
          <cell r="K130">
            <v>206.51346423330716</v>
          </cell>
          <cell r="L130">
            <v>217.49182205200614</v>
          </cell>
        </row>
        <row r="131">
          <cell r="B131" t="str">
            <v>主营业务成本</v>
          </cell>
          <cell r="C131">
            <v>74.189977999999996</v>
          </cell>
          <cell r="D131">
            <v>76.020119000000008</v>
          </cell>
          <cell r="E131">
            <v>107.96684700000002</v>
          </cell>
          <cell r="F131">
            <v>97.951071999999982</v>
          </cell>
          <cell r="G131">
            <v>118.28681067349093</v>
          </cell>
          <cell r="H131">
            <v>140.60896424045433</v>
          </cell>
          <cell r="I131">
            <v>0</v>
          </cell>
          <cell r="J131">
            <v>0</v>
          </cell>
          <cell r="K131">
            <v>160.41672598475105</v>
          </cell>
          <cell r="L131">
            <v>168.98167567098307</v>
          </cell>
        </row>
        <row r="132">
          <cell r="B132" t="str">
            <v>息税折旧摊销前利润</v>
          </cell>
          <cell r="C132">
            <v>12.001451000000001</v>
          </cell>
          <cell r="D132">
            <v>12.197447999999989</v>
          </cell>
          <cell r="E132">
            <v>14.961832999999995</v>
          </cell>
          <cell r="F132">
            <v>12.193285333333348</v>
          </cell>
          <cell r="G132">
            <v>17.207816848359318</v>
          </cell>
          <cell r="H132">
            <v>19.306756202796901</v>
          </cell>
          <cell r="I132">
            <v>0</v>
          </cell>
          <cell r="J132">
            <v>0</v>
          </cell>
          <cell r="K132">
            <v>19.291571998065574</v>
          </cell>
          <cell r="L132">
            <v>20.27941266587899</v>
          </cell>
        </row>
        <row r="133">
          <cell r="B133" t="str">
            <v>息税前利润</v>
          </cell>
          <cell r="C133">
            <v>11.191383000000002</v>
          </cell>
          <cell r="D133">
            <v>10.63937999999999</v>
          </cell>
          <cell r="E133">
            <v>12.255187999999995</v>
          </cell>
          <cell r="F133">
            <v>6.1744960000000138</v>
          </cell>
          <cell r="G133">
            <v>3.7928639370487089</v>
          </cell>
          <cell r="H133">
            <v>6.2499908376818132</v>
          </cell>
          <cell r="I133">
            <v>0</v>
          </cell>
          <cell r="J133">
            <v>0</v>
          </cell>
          <cell r="K133">
            <v>6.5811792727555858</v>
          </cell>
          <cell r="L133">
            <v>7.8989928641184957</v>
          </cell>
        </row>
        <row r="134">
          <cell r="B134" t="str">
            <v>税后净利润</v>
          </cell>
          <cell r="C134">
            <v>7.383383000000002</v>
          </cell>
          <cell r="D134">
            <v>6.6393799999999903</v>
          </cell>
          <cell r="E134">
            <v>7.0311879999999949</v>
          </cell>
          <cell r="F134">
            <v>2.2144960000000142</v>
          </cell>
          <cell r="G134">
            <v>1.8905182321560332</v>
          </cell>
          <cell r="H134">
            <v>3.5737388632019167</v>
          </cell>
          <cell r="I134">
            <v>0</v>
          </cell>
          <cell r="J134">
            <v>0</v>
          </cell>
          <cell r="K134">
            <v>3.8546487554905173</v>
          </cell>
          <cell r="L134">
            <v>4.7907141073101434</v>
          </cell>
        </row>
        <row r="137">
          <cell r="B137" t="str">
            <v>主营业务收入</v>
          </cell>
          <cell r="C137">
            <v>0</v>
          </cell>
          <cell r="D137">
            <v>0</v>
          </cell>
          <cell r="E137">
            <v>0</v>
          </cell>
          <cell r="F137">
            <v>31.673054</v>
          </cell>
          <cell r="G137">
            <v>51.823859590741229</v>
          </cell>
          <cell r="H137">
            <v>51.823859590741229</v>
          </cell>
          <cell r="I137">
            <v>0</v>
          </cell>
          <cell r="J137">
            <v>0</v>
          </cell>
          <cell r="K137">
            <v>51.823859590741229</v>
          </cell>
          <cell r="L137">
            <v>52.860336782556054</v>
          </cell>
        </row>
        <row r="138">
          <cell r="B138" t="str">
            <v>主营业务成本</v>
          </cell>
          <cell r="C138">
            <v>0</v>
          </cell>
          <cell r="D138">
            <v>0</v>
          </cell>
          <cell r="E138">
            <v>0</v>
          </cell>
          <cell r="F138">
            <v>22.599030416666668</v>
          </cell>
          <cell r="G138">
            <v>34.505692509446263</v>
          </cell>
          <cell r="H138">
            <v>34.91748473686858</v>
          </cell>
          <cell r="I138">
            <v>0</v>
          </cell>
          <cell r="J138">
            <v>0</v>
          </cell>
          <cell r="K138">
            <v>35.567867710786089</v>
          </cell>
          <cell r="L138">
            <v>36.3074699558845</v>
          </cell>
        </row>
        <row r="139">
          <cell r="B139" t="str">
            <v>息税折旧摊销前利润</v>
          </cell>
          <cell r="C139">
            <v>0</v>
          </cell>
          <cell r="D139">
            <v>0</v>
          </cell>
          <cell r="E139">
            <v>0</v>
          </cell>
          <cell r="F139">
            <v>6.8153569166666657</v>
          </cell>
          <cell r="G139">
            <v>12.282861884537477</v>
          </cell>
          <cell r="H139">
            <v>11.871083017115161</v>
          </cell>
          <cell r="I139">
            <v>0</v>
          </cell>
          <cell r="J139">
            <v>0</v>
          </cell>
          <cell r="K139">
            <v>11.220722982317655</v>
          </cell>
          <cell r="L139">
            <v>11.416892551081313</v>
          </cell>
        </row>
        <row r="140">
          <cell r="B140" t="str">
            <v>息税前利润</v>
          </cell>
          <cell r="C140">
            <v>0</v>
          </cell>
          <cell r="D140">
            <v>0</v>
          </cell>
          <cell r="E140">
            <v>0</v>
          </cell>
          <cell r="F140">
            <v>6.3366902499999984</v>
          </cell>
          <cell r="G140">
            <v>11.211697058849847</v>
          </cell>
          <cell r="H140">
            <v>10.684313319797427</v>
          </cell>
          <cell r="I140">
            <v>0</v>
          </cell>
          <cell r="J140">
            <v>0</v>
          </cell>
          <cell r="K140">
            <v>9.9161610530204012</v>
          </cell>
          <cell r="L140">
            <v>9.9923577443201008</v>
          </cell>
        </row>
        <row r="141">
          <cell r="B141" t="str">
            <v>税后净利润</v>
          </cell>
          <cell r="C141">
            <v>0</v>
          </cell>
          <cell r="D141">
            <v>0</v>
          </cell>
          <cell r="E141">
            <v>0</v>
          </cell>
          <cell r="F141">
            <v>4.9340235833333317</v>
          </cell>
          <cell r="G141">
            <v>7.5309951346062247</v>
          </cell>
          <cell r="H141">
            <v>7.1736526445269497</v>
          </cell>
          <cell r="I141">
            <v>0</v>
          </cell>
          <cell r="J141">
            <v>0</v>
          </cell>
          <cell r="K141">
            <v>6.6638061584022354</v>
          </cell>
          <cell r="L141">
            <v>6.721093773043969</v>
          </cell>
        </row>
        <row r="144">
          <cell r="B144" t="str">
            <v>主营业务收入</v>
          </cell>
          <cell r="C144">
            <v>0</v>
          </cell>
          <cell r="D144">
            <v>0</v>
          </cell>
          <cell r="E144">
            <v>56.902099999999997</v>
          </cell>
          <cell r="F144">
            <v>63.372000000000007</v>
          </cell>
          <cell r="G144">
            <v>69.849496925264063</v>
          </cell>
          <cell r="H144">
            <v>74.153982489843855</v>
          </cell>
          <cell r="I144">
            <v>0</v>
          </cell>
          <cell r="J144">
            <v>0</v>
          </cell>
          <cell r="K144">
            <v>77.207170530386662</v>
          </cell>
          <cell r="L144">
            <v>78.751313940994393</v>
          </cell>
        </row>
        <row r="145">
          <cell r="B145" t="str">
            <v>主营业务成本</v>
          </cell>
          <cell r="C145">
            <v>0</v>
          </cell>
          <cell r="D145">
            <v>0</v>
          </cell>
          <cell r="E145">
            <v>40.5274</v>
          </cell>
          <cell r="F145">
            <v>45.417695640000005</v>
          </cell>
          <cell r="G145">
            <v>49.112348935782933</v>
          </cell>
          <cell r="H145">
            <v>52.598453143600587</v>
          </cell>
          <cell r="I145">
            <v>0</v>
          </cell>
          <cell r="J145">
            <v>0</v>
          </cell>
          <cell r="K145">
            <v>55.671797311772131</v>
          </cell>
          <cell r="L145">
            <v>56.829522078111154</v>
          </cell>
        </row>
        <row r="146">
          <cell r="B146" t="str">
            <v>息税折旧摊销前利润</v>
          </cell>
          <cell r="C146">
            <v>0</v>
          </cell>
          <cell r="D146">
            <v>0</v>
          </cell>
          <cell r="E146">
            <v>8.8126999999999978</v>
          </cell>
          <cell r="F146">
            <v>11.715637693333337</v>
          </cell>
          <cell r="G146">
            <v>12.548016780641815</v>
          </cell>
          <cell r="H146">
            <v>12.861741717149208</v>
          </cell>
          <cell r="I146">
            <v>0</v>
          </cell>
          <cell r="J146">
            <v>0</v>
          </cell>
          <cell r="K146">
            <v>12.483630864434671</v>
          </cell>
          <cell r="L146">
            <v>12.689014661619787</v>
          </cell>
        </row>
        <row r="147">
          <cell r="B147" t="str">
            <v>息税前利润</v>
          </cell>
          <cell r="C147">
            <v>0</v>
          </cell>
          <cell r="D147">
            <v>0</v>
          </cell>
          <cell r="E147">
            <v>8.2106999999999974</v>
          </cell>
          <cell r="F147">
            <v>11.09466666666667</v>
          </cell>
          <cell r="G147">
            <v>11.892630957661005</v>
          </cell>
          <cell r="H147">
            <v>12.193271845738591</v>
          </cell>
          <cell r="I147">
            <v>0</v>
          </cell>
          <cell r="J147">
            <v>0</v>
          </cell>
          <cell r="K147">
            <v>11.801023382880613</v>
          </cell>
          <cell r="L147">
            <v>11.990807170425384</v>
          </cell>
        </row>
        <row r="148">
          <cell r="B148" t="str">
            <v>税后净利润</v>
          </cell>
          <cell r="C148">
            <v>0</v>
          </cell>
          <cell r="D148">
            <v>0</v>
          </cell>
          <cell r="E148">
            <v>5.2246999999999968</v>
          </cell>
          <cell r="F148">
            <v>6.9866666666666699</v>
          </cell>
          <cell r="G148">
            <v>7.9028132985993782</v>
          </cell>
          <cell r="H148">
            <v>8.0881498251154316</v>
          </cell>
          <cell r="I148">
            <v>0</v>
          </cell>
          <cell r="J148">
            <v>0</v>
          </cell>
          <cell r="K148">
            <v>7.8376844842645674</v>
          </cell>
          <cell r="L148">
            <v>7.9710922074880113</v>
          </cell>
        </row>
        <row r="370">
          <cell r="B370" t="str">
            <v>主营业务收入</v>
          </cell>
          <cell r="C370">
            <v>0</v>
          </cell>
          <cell r="D370">
            <v>0</v>
          </cell>
          <cell r="E370">
            <v>65.462000000000003</v>
          </cell>
          <cell r="F370">
            <v>76.906666666666652</v>
          </cell>
          <cell r="G370">
            <v>72.601904340360463</v>
          </cell>
          <cell r="H370">
            <v>71.532054141919687</v>
          </cell>
          <cell r="I370">
            <v>0</v>
          </cell>
          <cell r="J370">
            <v>0</v>
          </cell>
          <cell r="K370">
            <v>70.889920808586353</v>
          </cell>
          <cell r="L370">
            <v>72.307719224758088</v>
          </cell>
        </row>
        <row r="371">
          <cell r="B371" t="str">
            <v>主营业务成本</v>
          </cell>
          <cell r="C371">
            <v>0</v>
          </cell>
          <cell r="D371">
            <v>0</v>
          </cell>
          <cell r="E371">
            <v>49.9</v>
          </cell>
          <cell r="F371">
            <v>58.303720693333325</v>
          </cell>
          <cell r="G371">
            <v>54.122719606955791</v>
          </cell>
          <cell r="H371">
            <v>53.883494633845039</v>
          </cell>
          <cell r="I371">
            <v>0</v>
          </cell>
          <cell r="J371">
            <v>0</v>
          </cell>
          <cell r="K371">
            <v>54.259985448464633</v>
          </cell>
          <cell r="L371">
            <v>55.388913451798061</v>
          </cell>
        </row>
        <row r="372">
          <cell r="B372" t="str">
            <v>息税折旧摊销前利润</v>
          </cell>
          <cell r="C372">
            <v>0</v>
          </cell>
          <cell r="D372">
            <v>0</v>
          </cell>
          <cell r="E372">
            <v>7.851</v>
          </cell>
          <cell r="F372">
            <v>10.504612640000003</v>
          </cell>
          <cell r="G372">
            <v>10.681808068708374</v>
          </cell>
          <cell r="H372">
            <v>9.9666455551409037</v>
          </cell>
          <cell r="I372">
            <v>0</v>
          </cell>
          <cell r="J372">
            <v>0</v>
          </cell>
          <cell r="K372">
            <v>9.0175767701172997</v>
          </cell>
          <cell r="L372">
            <v>9.1542000111555133</v>
          </cell>
        </row>
        <row r="373">
          <cell r="B373" t="str">
            <v>息税前利润</v>
          </cell>
          <cell r="C373">
            <v>0</v>
          </cell>
          <cell r="D373">
            <v>0</v>
          </cell>
          <cell r="E373">
            <v>6.5259999999999998</v>
          </cell>
          <cell r="F373">
            <v>9.0923333333333343</v>
          </cell>
          <cell r="G373">
            <v>9.1898419528061357</v>
          </cell>
          <cell r="H373">
            <v>8.4189897296821581</v>
          </cell>
          <cell r="I373">
            <v>0</v>
          </cell>
          <cell r="J373">
            <v>0</v>
          </cell>
          <cell r="K373">
            <v>7.3893976672362758</v>
          </cell>
          <cell r="L373">
            <v>7.4422231334064177</v>
          </cell>
        </row>
        <row r="374">
          <cell r="B374" t="str">
            <v>税后净利润</v>
          </cell>
          <cell r="C374">
            <v>0</v>
          </cell>
          <cell r="D374">
            <v>0</v>
          </cell>
          <cell r="E374">
            <v>4.3780000000000001</v>
          </cell>
          <cell r="F374">
            <v>5.844333333333334</v>
          </cell>
          <cell r="G374">
            <v>6.172591581013041</v>
          </cell>
          <cell r="H374">
            <v>5.6598509979202758</v>
          </cell>
          <cell r="I374">
            <v>0</v>
          </cell>
          <cell r="J374">
            <v>0</v>
          </cell>
          <cell r="K374">
            <v>4.9755749225948698</v>
          </cell>
          <cell r="L374">
            <v>5.0165671444903852</v>
          </cell>
        </row>
        <row r="377">
          <cell r="B377" t="str">
            <v>主营业务收入</v>
          </cell>
          <cell r="C377">
            <v>62.851000000000006</v>
          </cell>
          <cell r="D377">
            <v>70.227000000000004</v>
          </cell>
          <cell r="E377">
            <v>82.441999999999993</v>
          </cell>
          <cell r="F377">
            <v>81.345333333333343</v>
          </cell>
          <cell r="G377">
            <v>73.573754805857263</v>
          </cell>
          <cell r="H377">
            <v>73.593176276516246</v>
          </cell>
          <cell r="I377">
            <v>0</v>
          </cell>
          <cell r="J377">
            <v>0</v>
          </cell>
          <cell r="K377">
            <v>73.526438632096585</v>
          </cell>
          <cell r="L377">
            <v>74.996967404738541</v>
          </cell>
        </row>
        <row r="378">
          <cell r="B378" t="str">
            <v>主营业务成本</v>
          </cell>
          <cell r="C378">
            <v>43.207999999999998</v>
          </cell>
          <cell r="D378">
            <v>48.509911709999997</v>
          </cell>
          <cell r="E378">
            <v>59.36633346</v>
          </cell>
          <cell r="F378">
            <v>59.642713066666659</v>
          </cell>
          <cell r="G378">
            <v>53.525207022792685</v>
          </cell>
          <cell r="H378">
            <v>54.185223764145007</v>
          </cell>
          <cell r="I378">
            <v>0</v>
          </cell>
          <cell r="J378">
            <v>0</v>
          </cell>
          <cell r="K378">
            <v>55.142807361906755</v>
          </cell>
          <cell r="L378">
            <v>56.289932797075018</v>
          </cell>
        </row>
        <row r="379">
          <cell r="B379" t="str">
            <v>息税折旧摊销前利润</v>
          </cell>
          <cell r="C379">
            <v>10.226000000000008</v>
          </cell>
          <cell r="D379">
            <v>10.93008829</v>
          </cell>
          <cell r="E379">
            <v>10.505666539999998</v>
          </cell>
          <cell r="F379">
            <v>11.672286933333355</v>
          </cell>
          <cell r="G379">
            <v>9.817020813061264</v>
          </cell>
          <cell r="H379">
            <v>9.1736759199662146</v>
          </cell>
          <cell r="I379">
            <v>0</v>
          </cell>
          <cell r="J379">
            <v>0</v>
          </cell>
          <cell r="K379">
            <v>8.1585449755413357</v>
          </cell>
          <cell r="L379">
            <v>8.2774465871220553</v>
          </cell>
        </row>
        <row r="380">
          <cell r="B380" t="str">
            <v>息税前利润</v>
          </cell>
          <cell r="C380">
            <v>9.2570000000000068</v>
          </cell>
          <cell r="D380">
            <v>9.923</v>
          </cell>
          <cell r="E380">
            <v>9.7569999999999979</v>
          </cell>
          <cell r="F380">
            <v>10.400333333333354</v>
          </cell>
          <cell r="G380">
            <v>7.8997851189968822</v>
          </cell>
          <cell r="H380">
            <v>7.2550962245392281</v>
          </cell>
          <cell r="I380">
            <v>0</v>
          </cell>
          <cell r="J380">
            <v>0</v>
          </cell>
          <cell r="K380">
            <v>6.2362048129142487</v>
          </cell>
          <cell r="L380">
            <v>6.3479917746406151</v>
          </cell>
        </row>
        <row r="381">
          <cell r="B381" t="str">
            <v>税后净利润</v>
          </cell>
          <cell r="C381">
            <v>6.2090000000000076</v>
          </cell>
          <cell r="D381">
            <v>6.5529999999999999</v>
          </cell>
          <cell r="E381">
            <v>5.7909999999999986</v>
          </cell>
          <cell r="F381">
            <v>7.2270000000000207</v>
          </cell>
          <cell r="G381">
            <v>5.3142901836278922</v>
          </cell>
          <cell r="H381">
            <v>4.8951489364889715</v>
          </cell>
          <cell r="I381">
            <v>0</v>
          </cell>
          <cell r="J381">
            <v>0</v>
          </cell>
          <cell r="K381">
            <v>4.2206265231620419</v>
          </cell>
          <cell r="L381">
            <v>4.3033558954265958</v>
          </cell>
        </row>
        <row r="384">
          <cell r="B384" t="str">
            <v>Revenue</v>
          </cell>
          <cell r="C384">
            <v>77.078999999999994</v>
          </cell>
          <cell r="D384">
            <v>80.700999999999993</v>
          </cell>
          <cell r="E384">
            <v>89.057000000000002</v>
          </cell>
          <cell r="F384">
            <v>79.257333333333335</v>
          </cell>
          <cell r="G384">
            <v>73.483377429516153</v>
          </cell>
          <cell r="H384">
            <v>72.451546807025053</v>
          </cell>
          <cell r="I384">
            <v>0</v>
          </cell>
          <cell r="J384">
            <v>0</v>
          </cell>
          <cell r="K384">
            <v>74.568279127737384</v>
          </cell>
          <cell r="L384">
            <v>76.059644710292133</v>
          </cell>
        </row>
        <row r="385">
          <cell r="B385" t="str">
            <v>COGS</v>
          </cell>
          <cell r="C385">
            <v>54.563168999999995</v>
          </cell>
          <cell r="D385">
            <v>56.473117819999992</v>
          </cell>
          <cell r="E385">
            <v>64.320618089999996</v>
          </cell>
          <cell r="F385">
            <v>58.000878533333335</v>
          </cell>
          <cell r="G385">
            <v>51.790569410789622</v>
          </cell>
          <cell r="H385">
            <v>51.446461901492654</v>
          </cell>
          <cell r="I385">
            <v>0</v>
          </cell>
          <cell r="J385">
            <v>0</v>
          </cell>
          <cell r="K385">
            <v>53.824844276564413</v>
          </cell>
          <cell r="L385">
            <v>54.944498685354709</v>
          </cell>
        </row>
        <row r="386">
          <cell r="B386" t="str">
            <v>EBITDA</v>
          </cell>
          <cell r="C386">
            <v>13.423831000000005</v>
          </cell>
          <cell r="D386">
            <v>14.941882180000007</v>
          </cell>
          <cell r="E386">
            <v>15.259381910000004</v>
          </cell>
          <cell r="F386">
            <v>15.243121466666659</v>
          </cell>
          <cell r="G386">
            <v>13.912929126793262</v>
          </cell>
          <cell r="H386">
            <v>13.341868291236946</v>
          </cell>
          <cell r="I386">
            <v>0</v>
          </cell>
          <cell r="J386">
            <v>0</v>
          </cell>
          <cell r="K386">
            <v>12.85252327535035</v>
          </cell>
          <cell r="L386">
            <v>13.066416217598348</v>
          </cell>
        </row>
        <row r="387">
          <cell r="B387" t="str">
            <v>EBIT</v>
          </cell>
          <cell r="C387">
            <v>12.788831000000005</v>
          </cell>
          <cell r="D387">
            <v>14.107327000000009</v>
          </cell>
          <cell r="E387">
            <v>14.551067010000004</v>
          </cell>
          <cell r="F387">
            <v>14.326666666666661</v>
          </cell>
          <cell r="G387">
            <v>12.48114582058216</v>
          </cell>
          <cell r="H387">
            <v>11.846092290352164</v>
          </cell>
          <cell r="I387">
            <v>0</v>
          </cell>
          <cell r="J387">
            <v>0</v>
          </cell>
          <cell r="K387">
            <v>11.284354823237342</v>
          </cell>
          <cell r="L387">
            <v>11.423138818055115</v>
          </cell>
        </row>
        <row r="388">
          <cell r="B388" t="str">
            <v>NPAT</v>
          </cell>
          <cell r="C388">
            <v>11.803831000000006</v>
          </cell>
          <cell r="D388">
            <v>9.3073270000000079</v>
          </cell>
          <cell r="E388">
            <v>9.809067010000005</v>
          </cell>
          <cell r="F388">
            <v>9.7413333333333263</v>
          </cell>
          <cell r="G388">
            <v>8.4223484611961474</v>
          </cell>
          <cell r="H388">
            <v>7.990485891269433</v>
          </cell>
          <cell r="I388">
            <v>0</v>
          </cell>
          <cell r="J388">
            <v>0</v>
          </cell>
          <cell r="K388">
            <v>7.6247682078690246</v>
          </cell>
          <cell r="L388">
            <v>7.7241892530740257</v>
          </cell>
        </row>
        <row r="391">
          <cell r="B391" t="str">
            <v>Revenue</v>
          </cell>
          <cell r="C391">
            <v>0</v>
          </cell>
          <cell r="D391">
            <v>21.673999999999999</v>
          </cell>
          <cell r="E391">
            <v>100.952</v>
          </cell>
          <cell r="F391">
            <v>250.64266666666663</v>
          </cell>
          <cell r="G391">
            <v>454.80828225316213</v>
          </cell>
          <cell r="H391">
            <v>587.76197882704116</v>
          </cell>
          <cell r="I391">
            <v>0</v>
          </cell>
          <cell r="J391">
            <v>0</v>
          </cell>
          <cell r="K391">
            <v>700.9533894648622</v>
          </cell>
          <cell r="L391">
            <v>750.7210801168676</v>
          </cell>
        </row>
        <row r="392">
          <cell r="B392" t="str">
            <v>COGS</v>
          </cell>
          <cell r="C392">
            <v>0</v>
          </cell>
          <cell r="D392">
            <v>13.061</v>
          </cell>
          <cell r="E392">
            <v>64.847623030000008</v>
          </cell>
          <cell r="F392">
            <v>181.61074719999999</v>
          </cell>
          <cell r="G392">
            <v>317.81106382627843</v>
          </cell>
          <cell r="H392">
            <v>411.84671125126715</v>
          </cell>
          <cell r="I392">
            <v>0</v>
          </cell>
          <cell r="J392">
            <v>0</v>
          </cell>
          <cell r="K392">
            <v>497.49136839560714</v>
          </cell>
          <cell r="L392">
            <v>532.53925466750968</v>
          </cell>
        </row>
        <row r="393">
          <cell r="B393" t="str">
            <v>EBITDA</v>
          </cell>
          <cell r="C393">
            <v>0</v>
          </cell>
          <cell r="D393">
            <v>8.6180000000000003</v>
          </cell>
          <cell r="E393">
            <v>36.222376969999999</v>
          </cell>
          <cell r="F393">
            <v>36.559919466666642</v>
          </cell>
          <cell r="G393">
            <v>77.947857788417338</v>
          </cell>
          <cell r="H393">
            <v>99.716840701140981</v>
          </cell>
          <cell r="I393">
            <v>0</v>
          </cell>
          <cell r="J393">
            <v>0</v>
          </cell>
          <cell r="K393">
            <v>112.66011349503209</v>
          </cell>
          <cell r="L393">
            <v>120.95390862664598</v>
          </cell>
        </row>
        <row r="394">
          <cell r="B394" t="str">
            <v>EBIT</v>
          </cell>
          <cell r="C394">
            <v>0</v>
          </cell>
          <cell r="D394">
            <v>8.2080000000000002</v>
          </cell>
          <cell r="E394">
            <v>35.073999999999998</v>
          </cell>
          <cell r="F394">
            <v>34.749333333333311</v>
          </cell>
          <cell r="G394">
            <v>74.802712478806185</v>
          </cell>
          <cell r="H394">
            <v>92.637704763519167</v>
          </cell>
          <cell r="I394">
            <v>0</v>
          </cell>
          <cell r="J394">
            <v>0</v>
          </cell>
          <cell r="K394">
            <v>100.33018883190016</v>
          </cell>
          <cell r="L394">
            <v>105.70579335150293</v>
          </cell>
        </row>
        <row r="395">
          <cell r="B395" t="str">
            <v>NPAT</v>
          </cell>
          <cell r="C395">
            <v>0</v>
          </cell>
          <cell r="D395">
            <v>8.2080000000000002</v>
          </cell>
          <cell r="E395">
            <v>35.073999999999998</v>
          </cell>
          <cell r="F395">
            <v>25.241333333333316</v>
          </cell>
          <cell r="G395">
            <v>49.979707330583842</v>
          </cell>
          <cell r="H395">
            <v>59.874974820883104</v>
          </cell>
          <cell r="I395">
            <v>0</v>
          </cell>
          <cell r="J395">
            <v>0</v>
          </cell>
          <cell r="K395">
            <v>62.388720039124919</v>
          </cell>
          <cell r="L395">
            <v>64.806072624127509</v>
          </cell>
        </row>
        <row r="398">
          <cell r="B398" t="str">
            <v>Revenue</v>
          </cell>
          <cell r="C398">
            <v>0</v>
          </cell>
          <cell r="D398">
            <v>0</v>
          </cell>
          <cell r="E398">
            <v>0</v>
          </cell>
          <cell r="F398">
            <v>60.683200000000006</v>
          </cell>
          <cell r="G398">
            <v>126.80651999999999</v>
          </cell>
          <cell r="H398">
            <v>164.00040600000003</v>
          </cell>
          <cell r="I398">
            <v>0</v>
          </cell>
          <cell r="J398">
            <v>0</v>
          </cell>
          <cell r="K398">
            <v>195.74039970000001</v>
          </cell>
          <cell r="L398">
            <v>209.6379680787</v>
          </cell>
        </row>
        <row r="399">
          <cell r="B399" t="str">
            <v>COGS</v>
          </cell>
          <cell r="C399">
            <v>0</v>
          </cell>
          <cell r="D399">
            <v>0</v>
          </cell>
          <cell r="E399">
            <v>0</v>
          </cell>
          <cell r="F399">
            <v>51.318400000000004</v>
          </cell>
          <cell r="G399">
            <v>104.52008424921891</v>
          </cell>
          <cell r="H399">
            <v>136.12174161741225</v>
          </cell>
          <cell r="I399">
            <v>0</v>
          </cell>
          <cell r="J399">
            <v>0</v>
          </cell>
          <cell r="K399">
            <v>165.20479538913568</v>
          </cell>
          <cell r="L399">
            <v>176.87154947153206</v>
          </cell>
        </row>
        <row r="400">
          <cell r="B400" t="str">
            <v>EBITDA</v>
          </cell>
          <cell r="C400">
            <v>0</v>
          </cell>
          <cell r="D400">
            <v>0</v>
          </cell>
          <cell r="E400">
            <v>0</v>
          </cell>
          <cell r="F400">
            <v>11.057600000000003</v>
          </cell>
          <cell r="G400">
            <v>17.11748276425433</v>
          </cell>
          <cell r="H400">
            <v>21.193594968291883</v>
          </cell>
          <cell r="I400">
            <v>0</v>
          </cell>
          <cell r="J400">
            <v>0</v>
          </cell>
          <cell r="K400">
            <v>22.556732848945373</v>
          </cell>
          <cell r="L400">
            <v>24.221047271452765</v>
          </cell>
        </row>
        <row r="401">
          <cell r="B401" t="str">
            <v>EBIT</v>
          </cell>
          <cell r="C401">
            <v>0</v>
          </cell>
          <cell r="D401">
            <v>0</v>
          </cell>
          <cell r="E401">
            <v>0</v>
          </cell>
          <cell r="F401">
            <v>10.572800000000003</v>
          </cell>
          <cell r="G401">
            <v>15.25020446393466</v>
          </cell>
          <cell r="H401">
            <v>19.235223029619512</v>
          </cell>
          <cell r="I401">
            <v>0</v>
          </cell>
          <cell r="J401">
            <v>0</v>
          </cell>
          <cell r="K401">
            <v>19.55412704790027</v>
          </cell>
          <cell r="L401">
            <v>20.084881284035436</v>
          </cell>
        </row>
        <row r="402">
          <cell r="B402" t="str">
            <v>NPAT</v>
          </cell>
          <cell r="C402">
            <v>0</v>
          </cell>
          <cell r="D402">
            <v>0</v>
          </cell>
          <cell r="E402">
            <v>0</v>
          </cell>
          <cell r="F402">
            <v>8.014400000000002</v>
          </cell>
          <cell r="G402">
            <v>10.342185169829078</v>
          </cell>
          <cell r="H402">
            <v>13.07091225513461</v>
          </cell>
          <cell r="I402">
            <v>0</v>
          </cell>
          <cell r="J402">
            <v>0</v>
          </cell>
          <cell r="K402">
            <v>13.184840479744846</v>
          </cell>
          <cell r="L402">
            <v>13.373777013923739</v>
          </cell>
        </row>
        <row r="405">
          <cell r="B405" t="str">
            <v>Revenue</v>
          </cell>
          <cell r="C405">
            <v>797.13199999999995</v>
          </cell>
          <cell r="D405">
            <v>944.08299999999997</v>
          </cell>
          <cell r="E405">
            <v>1149.7539999999999</v>
          </cell>
          <cell r="F405">
            <v>1187.0986666666665</v>
          </cell>
          <cell r="G405">
            <v>1321.4130679999998</v>
          </cell>
          <cell r="H405">
            <v>1418.7132377013331</v>
          </cell>
          <cell r="I405">
            <v>0</v>
          </cell>
          <cell r="J405">
            <v>0</v>
          </cell>
          <cell r="K405">
            <v>1487.5286991408932</v>
          </cell>
          <cell r="L405">
            <v>1542.5142848757112</v>
          </cell>
        </row>
        <row r="406">
          <cell r="B406" t="str">
            <v>COGS</v>
          </cell>
          <cell r="C406">
            <v>679.99000000000012</v>
          </cell>
          <cell r="D406">
            <v>793.79200000000014</v>
          </cell>
          <cell r="E406">
            <v>968.39599999999962</v>
          </cell>
          <cell r="F406">
            <v>939.98400000000004</v>
          </cell>
          <cell r="G406">
            <v>1070.5971769733037</v>
          </cell>
          <cell r="H406">
            <v>1149.404823862687</v>
          </cell>
          <cell r="I406">
            <v>0</v>
          </cell>
          <cell r="J406">
            <v>0</v>
          </cell>
          <cell r="K406">
            <v>1209.5499914953227</v>
          </cell>
          <cell r="L406">
            <v>1253.2672886237401</v>
          </cell>
        </row>
        <row r="407">
          <cell r="B407" t="str">
            <v>EBITDA</v>
          </cell>
          <cell r="C407">
            <v>76.037999999999883</v>
          </cell>
          <cell r="D407">
            <v>65.192999999999884</v>
          </cell>
          <cell r="E407">
            <v>74.242000000000345</v>
          </cell>
          <cell r="F407">
            <v>103.37566666666652</v>
          </cell>
          <cell r="G407">
            <v>106.18754999095853</v>
          </cell>
          <cell r="H407">
            <v>112.83676644922875</v>
          </cell>
          <cell r="I407">
            <v>0</v>
          </cell>
          <cell r="J407">
            <v>0</v>
          </cell>
          <cell r="K407">
            <v>109.22107749396632</v>
          </cell>
          <cell r="L407">
            <v>117.72694018586783</v>
          </cell>
        </row>
        <row r="408">
          <cell r="B408" t="str">
            <v>EBIT</v>
          </cell>
          <cell r="C408">
            <v>65.485999999999891</v>
          </cell>
          <cell r="D408">
            <v>49.881999999999884</v>
          </cell>
          <cell r="E408">
            <v>55.890000000000349</v>
          </cell>
          <cell r="F408">
            <v>81.552999999999855</v>
          </cell>
          <cell r="G408">
            <v>78.348554951496695</v>
          </cell>
          <cell r="H408">
            <v>85.238794020692666</v>
          </cell>
          <cell r="I408">
            <v>0</v>
          </cell>
          <cell r="J408">
            <v>0</v>
          </cell>
          <cell r="K408">
            <v>80.564198484786417</v>
          </cell>
          <cell r="L408">
            <v>87.882124053223208</v>
          </cell>
        </row>
        <row r="409">
          <cell r="B409" t="str">
            <v>NPAT</v>
          </cell>
          <cell r="C409">
            <v>48.121999999999886</v>
          </cell>
          <cell r="D409">
            <v>31.348999999999883</v>
          </cell>
          <cell r="E409">
            <v>35.948000000000349</v>
          </cell>
          <cell r="F409">
            <v>52.758333333333191</v>
          </cell>
          <cell r="G409">
            <v>65.064790081903979</v>
          </cell>
          <cell r="H409">
            <v>68.907792094249245</v>
          </cell>
          <cell r="I409">
            <v>0</v>
          </cell>
          <cell r="J409">
            <v>0</v>
          </cell>
          <cell r="K409">
            <v>64.425790510840685</v>
          </cell>
          <cell r="L409">
            <v>70.632636237724483</v>
          </cell>
        </row>
        <row r="412">
          <cell r="B412" t="str">
            <v>Revenue</v>
          </cell>
          <cell r="C412">
            <v>801.59900000000005</v>
          </cell>
          <cell r="D412">
            <v>951.62500000000011</v>
          </cell>
          <cell r="E412">
            <v>1200.61915527</v>
          </cell>
          <cell r="F412">
            <v>1254.8999999999999</v>
          </cell>
          <cell r="G412">
            <v>1400.1926066666665</v>
          </cell>
          <cell r="H412">
            <v>1511.3978597546668</v>
          </cell>
          <cell r="I412">
            <v>0</v>
          </cell>
          <cell r="J412">
            <v>0</v>
          </cell>
          <cell r="K412">
            <v>1590.5817494191333</v>
          </cell>
          <cell r="L412">
            <v>1651.8639965220161</v>
          </cell>
        </row>
        <row r="413">
          <cell r="B413" t="str">
            <v>COGS</v>
          </cell>
          <cell r="C413">
            <v>594.70934399999976</v>
          </cell>
          <cell r="D413">
            <v>707.52941353000017</v>
          </cell>
          <cell r="E413">
            <v>875.79212889954931</v>
          </cell>
          <cell r="F413">
            <v>853.85111172333325</v>
          </cell>
          <cell r="G413">
            <v>967.81116047883791</v>
          </cell>
          <cell r="H413">
            <v>1054.7098744385935</v>
          </cell>
          <cell r="I413">
            <v>0</v>
          </cell>
          <cell r="J413">
            <v>0</v>
          </cell>
          <cell r="K413">
            <v>1124.809085488949</v>
          </cell>
          <cell r="L413">
            <v>1169.9055189021069</v>
          </cell>
        </row>
        <row r="414">
          <cell r="B414" t="str">
            <v>EBITDA</v>
          </cell>
          <cell r="C414">
            <v>110.08472400000019</v>
          </cell>
          <cell r="D414">
            <v>96.047654469999983</v>
          </cell>
          <cell r="E414">
            <v>131.32167137045062</v>
          </cell>
          <cell r="F414">
            <v>171.70301094333314</v>
          </cell>
          <cell r="G414">
            <v>185.00755397523091</v>
          </cell>
          <cell r="H414">
            <v>192.69453829163277</v>
          </cell>
          <cell r="I414">
            <v>0</v>
          </cell>
          <cell r="J414">
            <v>0</v>
          </cell>
          <cell r="K414">
            <v>187.2275934370121</v>
          </cell>
          <cell r="L414">
            <v>193.29517837072439</v>
          </cell>
        </row>
        <row r="415">
          <cell r="B415" t="str">
            <v>EBIT</v>
          </cell>
          <cell r="C415">
            <v>96.556656000000189</v>
          </cell>
          <cell r="D415">
            <v>76.267942999999988</v>
          </cell>
          <cell r="E415">
            <v>104.95104493045062</v>
          </cell>
          <cell r="F415">
            <v>135.98856287666649</v>
          </cell>
          <cell r="G415">
            <v>132.0666393352947</v>
          </cell>
          <cell r="H415">
            <v>139.93587998318998</v>
          </cell>
          <cell r="I415">
            <v>0</v>
          </cell>
          <cell r="J415">
            <v>0</v>
          </cell>
          <cell r="K415">
            <v>133.19644576847389</v>
          </cell>
          <cell r="L415">
            <v>137.82545426611665</v>
          </cell>
        </row>
        <row r="416">
          <cell r="B416" t="str">
            <v>NPAT</v>
          </cell>
          <cell r="C416">
            <v>67.663656000000188</v>
          </cell>
          <cell r="D416">
            <v>40.542942999999987</v>
          </cell>
          <cell r="E416">
            <v>62.032044930450617</v>
          </cell>
          <cell r="F416">
            <v>81.215229543333166</v>
          </cell>
          <cell r="G416">
            <v>93.451112287183591</v>
          </cell>
          <cell r="H416">
            <v>98.155217489691594</v>
          </cell>
          <cell r="I416">
            <v>0</v>
          </cell>
          <cell r="J416">
            <v>0</v>
          </cell>
          <cell r="K416">
            <v>93.288311487446919</v>
          </cell>
          <cell r="L416">
            <v>96.286741787287184</v>
          </cell>
        </row>
        <row r="417">
          <cell r="B417" t="str">
            <v>Note: NPAT is before deducting minority interests</v>
          </cell>
        </row>
        <row r="419">
          <cell r="C419" t="str">
            <v>Revenue</v>
          </cell>
          <cell r="D419" t="str">
            <v>Enterprise</v>
          </cell>
          <cell r="E419" t="str">
            <v>Equity</v>
          </cell>
          <cell r="F419" t="str">
            <v>NTA</v>
          </cell>
          <cell r="G419" t="str">
            <v>Equity Value /</v>
          </cell>
          <cell r="H419" t="str">
            <v>Enterprise Value /</v>
          </cell>
        </row>
        <row r="420">
          <cell r="C420">
            <v>2003</v>
          </cell>
          <cell r="D420" t="str">
            <v>Value</v>
          </cell>
          <cell r="E420" t="str">
            <v>Value</v>
          </cell>
          <cell r="F420">
            <v>0</v>
          </cell>
          <cell r="G420" t="str">
            <v>NTA</v>
          </cell>
          <cell r="H420" t="str">
            <v>Revenue</v>
          </cell>
        </row>
        <row r="421">
          <cell r="C421">
            <v>85.613347443089651</v>
          </cell>
          <cell r="D421" t="e">
            <v>#REF!</v>
          </cell>
          <cell r="E421" t="e">
            <v>#REF!</v>
          </cell>
          <cell r="F421" t="e">
            <v>#REF!</v>
          </cell>
          <cell r="G421" t="e">
            <v>#REF!</v>
          </cell>
          <cell r="H421" t="e">
            <v>#REF!</v>
          </cell>
        </row>
        <row r="422">
          <cell r="C422">
            <v>85.613347443089651</v>
          </cell>
          <cell r="D422" t="e">
            <v>#REF!</v>
          </cell>
          <cell r="E422" t="e">
            <v>#REF!</v>
          </cell>
          <cell r="F422" t="e">
            <v>#REF!</v>
          </cell>
          <cell r="G422" t="e">
            <v>#REF!</v>
          </cell>
          <cell r="H422" t="e">
            <v>#REF!</v>
          </cell>
        </row>
        <row r="423">
          <cell r="C423">
            <v>155.70041105920217</v>
          </cell>
          <cell r="D423" t="e">
            <v>#REF!</v>
          </cell>
          <cell r="E423" t="e">
            <v>#REF!</v>
          </cell>
          <cell r="F423" t="e">
            <v>#REF!</v>
          </cell>
          <cell r="G423" t="e">
            <v>#REF!</v>
          </cell>
          <cell r="H423" t="e">
            <v>#REF!</v>
          </cell>
        </row>
        <row r="424">
          <cell r="C424">
            <v>51.823859590741229</v>
          </cell>
          <cell r="D424" t="e">
            <v>#REF!</v>
          </cell>
          <cell r="E424" t="e">
            <v>#REF!</v>
          </cell>
          <cell r="F424" t="e">
            <v>#REF!</v>
          </cell>
          <cell r="G424" t="e">
            <v>#REF!</v>
          </cell>
          <cell r="H424" t="e">
            <v>#REF!</v>
          </cell>
        </row>
        <row r="425">
          <cell r="C425">
            <v>69.849496925264063</v>
          </cell>
          <cell r="D425" t="e">
            <v>#REF!</v>
          </cell>
          <cell r="E425" t="e">
            <v>#REF!</v>
          </cell>
          <cell r="F425" t="e">
            <v>#REF!</v>
          </cell>
          <cell r="G425" t="e">
            <v>#REF!</v>
          </cell>
          <cell r="H425" t="e">
            <v>#REF!</v>
          </cell>
        </row>
        <row r="426">
          <cell r="C426">
            <v>72.601904340360463</v>
          </cell>
          <cell r="D426" t="e">
            <v>#REF!</v>
          </cell>
          <cell r="E426" t="e">
            <v>#REF!</v>
          </cell>
          <cell r="F426" t="e">
            <v>#REF!</v>
          </cell>
          <cell r="G426" t="e">
            <v>#REF!</v>
          </cell>
          <cell r="H426" t="e">
            <v>#REF!</v>
          </cell>
        </row>
        <row r="427">
          <cell r="C427">
            <v>73.573754805857263</v>
          </cell>
          <cell r="D427" t="e">
            <v>#REF!</v>
          </cell>
          <cell r="E427" t="e">
            <v>#REF!</v>
          </cell>
          <cell r="F427" t="e">
            <v>#REF!</v>
          </cell>
          <cell r="G427" t="e">
            <v>#REF!</v>
          </cell>
          <cell r="H427" t="e">
            <v>#REF!</v>
          </cell>
        </row>
        <row r="428">
          <cell r="C428">
            <v>73.483377429516153</v>
          </cell>
          <cell r="D428" t="e">
            <v>#REF!</v>
          </cell>
          <cell r="E428" t="e">
            <v>#REF!</v>
          </cell>
          <cell r="F428" t="e">
            <v>#REF!</v>
          </cell>
          <cell r="G428" t="e">
            <v>#REF!</v>
          </cell>
          <cell r="H428" t="e">
            <v>#REF!</v>
          </cell>
        </row>
        <row r="429">
          <cell r="C429">
            <v>454.80828225316213</v>
          </cell>
          <cell r="D429" t="e">
            <v>#REF!</v>
          </cell>
          <cell r="E429" t="e">
            <v>#REF!</v>
          </cell>
          <cell r="F429" t="e">
            <v>#REF!</v>
          </cell>
          <cell r="G429" t="e">
            <v>#REF!</v>
          </cell>
          <cell r="H429" t="e">
            <v>#REF!</v>
          </cell>
        </row>
        <row r="430">
          <cell r="C430">
            <v>126.80651999999999</v>
          </cell>
          <cell r="D430" t="e">
            <v>#REF!</v>
          </cell>
          <cell r="E430" t="e">
            <v>#REF!</v>
          </cell>
          <cell r="F430" t="e">
            <v>#REF!</v>
          </cell>
          <cell r="G430" t="e">
            <v>#REF!</v>
          </cell>
          <cell r="H430" t="e">
            <v>#REF!</v>
          </cell>
        </row>
        <row r="431">
          <cell r="C431">
            <v>1321.4130679999998</v>
          </cell>
          <cell r="D431" t="e">
            <v>#REF!</v>
          </cell>
          <cell r="E431" t="e">
            <v>#REF!</v>
          </cell>
          <cell r="F431" t="e">
            <v>#REF!</v>
          </cell>
          <cell r="G431" t="e">
            <v>#REF!</v>
          </cell>
          <cell r="H431" t="e">
            <v>#REF!</v>
          </cell>
        </row>
        <row r="432">
          <cell r="C432">
            <v>1400.1926066666665</v>
          </cell>
          <cell r="D432">
            <v>1735717.0211796032</v>
          </cell>
          <cell r="E432">
            <v>1678304.3014969539</v>
          </cell>
          <cell r="F432">
            <v>326902.77126666671</v>
          </cell>
          <cell r="G432">
            <v>5.1339555642001544</v>
          </cell>
          <cell r="H432">
            <v>1.2396273290656024</v>
          </cell>
        </row>
        <row r="433">
          <cell r="B433" t="str">
            <v>Note: EV is after adjustments and for 100% of entity</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5預算"/>
      <sheetName val="life本部 (2)"/>
      <sheetName val="life外埠 (2)"/>
      <sheetName val="life本部84"/>
      <sheetName val="life外埠84"/>
      <sheetName val="房租"/>
      <sheetName val="外15薪基84"/>
      <sheetName val="Main"/>
      <sheetName val="團險職團人"/>
      <sheetName val="分攤比例"/>
      <sheetName val="不同组合模式分析"/>
      <sheetName val="ORIX-AMC範本-20051003"/>
      <sheetName val="9207物價指數"/>
      <sheetName val="총괄표"/>
      <sheetName val="Sheet D-1"/>
      <sheetName val="Sheet D-3"/>
      <sheetName val="최초 (2)"/>
      <sheetName val="Physical"/>
      <sheetName val="단서적용"/>
      <sheetName val="Total_list"/>
      <sheetName val="단서적용요약"/>
      <sheetName val="LD_全-2.25"/>
      <sheetName val="代碼檔"/>
      <sheetName val="計算檢核"/>
      <sheetName val="安全驗證"/>
      <sheetName val="Collateral"/>
      <sheetName val="menu"/>
      <sheetName val="CostSchedule"/>
      <sheetName val="台北地區"/>
      <sheetName val="Datatape"/>
      <sheetName val="controls"/>
      <sheetName val="參數"/>
      <sheetName val="報告內容"/>
      <sheetName val="土估表"/>
      <sheetName val="建估表"/>
      <sheetName val="List"/>
      <sheetName val="SRC-B3U2"/>
      <sheetName val="Rent Comp"/>
      <sheetName val="Summary"/>
      <sheetName val="土地增值稅"/>
      <sheetName val="life本部_(2)"/>
      <sheetName val="life外埠_(2)"/>
      <sheetName val="Sheet_D-1"/>
      <sheetName val="Sheet_D-3"/>
      <sheetName val="최초_(2)"/>
      <sheetName val="LD_全-2_25"/>
      <sheetName val="建 物 鑑 定 表"/>
      <sheetName val="合法拆補"/>
      <sheetName val="拆除計畫"/>
      <sheetName val="土地鑑定表"/>
      <sheetName val="摘要表"/>
      <sheetName val="公設明細"/>
      <sheetName val="方案一(地下1層)"/>
      <sheetName val="PO AP相關明細"/>
      <sheetName val="資產總明細"/>
      <sheetName val="life本部_(2)1"/>
      <sheetName val="life外埠_(2)1"/>
      <sheetName val="Sheet_D-11"/>
      <sheetName val="Sheet_D-31"/>
      <sheetName val="최초_(2)1"/>
      <sheetName val="LD_全-2_251"/>
      <sheetName val="PO_AP相關明細"/>
      <sheetName val="Rent_Comp"/>
      <sheetName val="Income Tax Calc-9703"/>
      <sheetName val="建_物_鑑_定_表"/>
      <sheetName val="Income_Tax_Calc-9703"/>
      <sheetName val="Control"/>
      <sheetName val="單價分析"/>
      <sheetName val="I-98BASE"/>
      <sheetName val="BSIS98"/>
      <sheetName val="スキャン"/>
    </sheetNames>
    <sheetDataSet>
      <sheetData sheetId="0">
        <row r="2">
          <cell r="N2">
            <v>0.39458750000000004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refreshError="1"/>
      <sheetData sheetId="64"/>
      <sheetData sheetId="65"/>
      <sheetData sheetId="66" refreshError="1"/>
      <sheetData sheetId="67" refreshError="1"/>
      <sheetData sheetId="68" refreshError="1"/>
      <sheetData sheetId="69" refreshError="1"/>
      <sheetData sheetId="7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207物價指數"/>
      <sheetName val="NT(初稿"/>
      <sheetName val="NT (完稿)"/>
      <sheetName val="Assumptions"/>
      <sheetName val="分攤比例"/>
      <sheetName val="參數"/>
      <sheetName val="85預算"/>
      <sheetName val="不同组合模式分析"/>
      <sheetName val="Summary"/>
      <sheetName val="更新整體開發收益表"/>
      <sheetName val="拆除計畫"/>
      <sheetName val="基礎資料與審議資料"/>
      <sheetName val="menu"/>
      <sheetName val="摘要"/>
      <sheetName val="CostSchedule"/>
      <sheetName val="團險職團人"/>
      <sheetName val="Inputs"/>
      <sheetName val="LD_全-2.25"/>
      <sheetName val="收金人件"/>
      <sheetName val="Datatape"/>
      <sheetName val="台北地區"/>
      <sheetName val="土地"/>
      <sheetName val="代碼檔"/>
      <sheetName val="合建分配"/>
      <sheetName val="規劃方案"/>
      <sheetName val="memo"/>
      <sheetName val="Sheet1 (2)"/>
      <sheetName val="MACRO"/>
      <sheetName val="controls"/>
      <sheetName val="設備-原始"/>
      <sheetName val="輸入"/>
      <sheetName val="單價分析"/>
      <sheetName val="スキャン"/>
      <sheetName val="Income Tax Calc-9703"/>
      <sheetName val="NT_(完稿)"/>
      <sheetName val="LD_全-2_25"/>
      <sheetName val="Sheet1_(2)"/>
      <sheetName val="Sheet1"/>
      <sheetName val="年0元"/>
      <sheetName val="股東權益變動表 7100book-audit"/>
      <sheetName val="設定"/>
      <sheetName val="開發內容"/>
      <sheetName val="ref"/>
      <sheetName val="Cash Flow"/>
      <sheetName val="Datascreen"/>
      <sheetName val="#REF!"/>
      <sheetName val="計算資料1"/>
      <sheetName val="中華評估表-完稿(9.17)"/>
      <sheetName val="PO AP相關明細"/>
      <sheetName val="表07(總計)"/>
      <sheetName val="表06"/>
      <sheetName val="Sheet2"/>
      <sheetName val="Sheet3"/>
      <sheetName val="Sheet4"/>
      <sheetName val="資產總明細"/>
      <sheetName val="pcbo 工時"/>
      <sheetName val="Appendix Encumbrances"/>
      <sheetName val="NT_(完稿)1"/>
      <sheetName val="LD_全-2_251"/>
      <sheetName val="Sheet1_(2)1"/>
      <sheetName val="NT_(完稿)2"/>
      <sheetName val="LD_全-2_252"/>
      <sheetName val="Sheet1_(2)2"/>
      <sheetName val="Income_Tax_Calc-9703"/>
      <sheetName val="股東權益變動表_7100book-audit"/>
      <sheetName val="PO_AP相關明細"/>
      <sheetName val="中華評估表-完稿(9_17)"/>
      <sheetName val="pcbo_工時"/>
      <sheetName val="Cash_Flow"/>
      <sheetName val="Appendix_Encumbrances"/>
      <sheetName val="計算檢核"/>
      <sheetName val="#REF"/>
      <sheetName val="總表"/>
    </sheetNames>
    <sheetDataSet>
      <sheetData sheetId="0" refreshError="1">
        <row r="500">
          <cell r="Y500" t="str">
            <v>擔保品座落縣市</v>
          </cell>
          <cell r="Z500" t="str">
            <v>生活機能</v>
          </cell>
          <cell r="AA500" t="str">
            <v>外觀</v>
          </cell>
          <cell r="AB500" t="str">
            <v>物件類型</v>
          </cell>
          <cell r="AC500" t="str">
            <v>評估處分難易度</v>
          </cell>
        </row>
        <row r="501">
          <cell r="Y501" t="str">
            <v>台北市</v>
          </cell>
          <cell r="Z501">
            <v>3</v>
          </cell>
          <cell r="AA501">
            <v>3</v>
          </cell>
          <cell r="AB501" t="str">
            <v>a1</v>
          </cell>
          <cell r="AC501">
            <v>1</v>
          </cell>
        </row>
        <row r="502">
          <cell r="Y502" t="str">
            <v>台北縣</v>
          </cell>
          <cell r="Z502">
            <v>2</v>
          </cell>
          <cell r="AA502">
            <v>2</v>
          </cell>
          <cell r="AB502" t="str">
            <v>a2</v>
          </cell>
          <cell r="AC502">
            <v>2</v>
          </cell>
        </row>
        <row r="503">
          <cell r="Y503" t="str">
            <v>基隆市</v>
          </cell>
          <cell r="Z503">
            <v>1</v>
          </cell>
          <cell r="AA503">
            <v>1</v>
          </cell>
          <cell r="AB503" t="str">
            <v>a3</v>
          </cell>
          <cell r="AC503">
            <v>3</v>
          </cell>
        </row>
        <row r="504">
          <cell r="Y504" t="str">
            <v>桃園縣</v>
          </cell>
          <cell r="AB504" t="str">
            <v>a4</v>
          </cell>
        </row>
        <row r="505">
          <cell r="Y505" t="str">
            <v>新竹市</v>
          </cell>
          <cell r="AB505" t="str">
            <v>a5</v>
          </cell>
        </row>
        <row r="506">
          <cell r="Y506" t="str">
            <v>新竹縣</v>
          </cell>
          <cell r="AB506" t="str">
            <v>a6</v>
          </cell>
        </row>
        <row r="507">
          <cell r="Y507" t="str">
            <v>苗栗縣</v>
          </cell>
          <cell r="AB507" t="str">
            <v>b1</v>
          </cell>
        </row>
        <row r="508">
          <cell r="Y508" t="str">
            <v>台中市</v>
          </cell>
          <cell r="AB508" t="str">
            <v>b2</v>
          </cell>
        </row>
        <row r="509">
          <cell r="Y509" t="str">
            <v>台中縣</v>
          </cell>
          <cell r="AB509" t="str">
            <v>b3</v>
          </cell>
        </row>
        <row r="510">
          <cell r="Y510" t="str">
            <v>南投縣</v>
          </cell>
          <cell r="AB510" t="str">
            <v>b4</v>
          </cell>
        </row>
        <row r="511">
          <cell r="Y511" t="str">
            <v>彰化縣</v>
          </cell>
          <cell r="AB511" t="str">
            <v>b5</v>
          </cell>
        </row>
        <row r="512">
          <cell r="Y512" t="str">
            <v>雲林縣</v>
          </cell>
          <cell r="AB512" t="str">
            <v>b6</v>
          </cell>
        </row>
        <row r="513">
          <cell r="Y513" t="str">
            <v>嘉義縣</v>
          </cell>
          <cell r="AB513" t="str">
            <v>c1</v>
          </cell>
        </row>
        <row r="514">
          <cell r="Y514" t="str">
            <v>台南市</v>
          </cell>
          <cell r="AB514" t="str">
            <v>c2</v>
          </cell>
        </row>
        <row r="515">
          <cell r="Y515" t="str">
            <v>台南縣</v>
          </cell>
          <cell r="AB515" t="str">
            <v>c3</v>
          </cell>
        </row>
        <row r="516">
          <cell r="Y516" t="str">
            <v>高雄市</v>
          </cell>
          <cell r="AB516" t="str">
            <v>c4</v>
          </cell>
        </row>
        <row r="517">
          <cell r="Y517" t="str">
            <v>高雄縣</v>
          </cell>
          <cell r="AB517" t="str">
            <v>c5</v>
          </cell>
        </row>
        <row r="518">
          <cell r="Y518" t="str">
            <v>屏東縣</v>
          </cell>
          <cell r="AB518" t="str">
            <v>c6</v>
          </cell>
        </row>
        <row r="519">
          <cell r="Y519" t="str">
            <v>花蓮縣</v>
          </cell>
          <cell r="AB519" t="str">
            <v>c7</v>
          </cell>
        </row>
        <row r="520">
          <cell r="Y520" t="str">
            <v>台東縣</v>
          </cell>
          <cell r="AB520" t="str">
            <v>d1</v>
          </cell>
        </row>
        <row r="521">
          <cell r="Y521" t="str">
            <v>澎湖縣</v>
          </cell>
          <cell r="AB521" t="str">
            <v>d2</v>
          </cell>
        </row>
        <row r="522">
          <cell r="Y522" t="str">
            <v>金門縣</v>
          </cell>
          <cell r="AB522" t="str">
            <v>d3</v>
          </cell>
        </row>
        <row r="523">
          <cell r="Y523" t="str">
            <v>連江縣</v>
          </cell>
          <cell r="AB523" t="str">
            <v>d4</v>
          </cell>
        </row>
        <row r="524">
          <cell r="AB524" t="str">
            <v>d5</v>
          </cell>
        </row>
        <row r="525">
          <cell r="AB525" t="str">
            <v>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單價分析"/>
      <sheetName val="預算總表"/>
      <sheetName val="單價分析表"/>
      <sheetName val="9207物價指數"/>
      <sheetName val="不同组合模式分析"/>
      <sheetName val="85預算"/>
      <sheetName val="分攤比例"/>
      <sheetName val="台北地區"/>
      <sheetName val="團險職團人"/>
      <sheetName val="標單"/>
      <sheetName val="Budget-LF-fy"/>
      <sheetName val="Rent Comp"/>
      <sheetName val="合建分配"/>
      <sheetName val="收金人件"/>
      <sheetName val="規劃方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土 地 增 值 稅 表(中國人壽名下)"/>
      <sheetName val="Sheet7"/>
      <sheetName val="Sheet8"/>
      <sheetName val="Sheet9"/>
      <sheetName val="Sheet10"/>
      <sheetName val="Sheet11"/>
      <sheetName val="Sheet12"/>
      <sheetName val="Sheet13"/>
      <sheetName val="Sheet14"/>
      <sheetName val="Sheet15"/>
      <sheetName val="Sheet16"/>
      <sheetName val="LD_全-2.25"/>
      <sheetName val="分攤比例"/>
      <sheetName val="85預算"/>
      <sheetName val="controls"/>
      <sheetName val="Collateral"/>
      <sheetName val="收金人件"/>
      <sheetName val="土地增值稅"/>
      <sheetName val="9207物價指數"/>
      <sheetName val="土地鑑定表"/>
      <sheetName val="報告內容"/>
      <sheetName val="土估表"/>
      <sheetName val="建估表"/>
      <sheetName val="計算檢核"/>
      <sheetName val="安全驗證"/>
      <sheetName val="Main"/>
      <sheetName val="單價分析"/>
      <sheetName val="土地"/>
    </sheetNames>
    <sheetDataSet>
      <sheetData sheetId="0" refreshError="1">
        <row r="5">
          <cell r="G5">
            <v>5165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207物價指數"/>
      <sheetName val="Chart1"/>
      <sheetName val="NT"/>
      <sheetName val="9207____"/>
      <sheetName val="Sheet1"/>
      <sheetName val="menu"/>
      <sheetName val="更新整體開發收益表"/>
      <sheetName val="85預算"/>
      <sheetName val="不同组合模式分析"/>
      <sheetName val="Datascreen"/>
      <sheetName val="違章處理結果"/>
      <sheetName val="土地"/>
      <sheetName val="單價分析"/>
      <sheetName val="摘要"/>
      <sheetName val="輸入"/>
      <sheetName val="Assumptions"/>
      <sheetName val="土地鑑定表"/>
      <sheetName val="Summary"/>
      <sheetName val="台北地區"/>
      <sheetName val="Expense"/>
      <sheetName val="Inputs"/>
      <sheetName val="Income Tax Calc-9703"/>
      <sheetName val="建 物 鑑 定 表"/>
      <sheetName val="原始檔案-地號 "/>
      <sheetName val="CostSchedule"/>
      <sheetName val="參數"/>
      <sheetName val="代碼檔"/>
      <sheetName val="List"/>
      <sheetName val="計算檢核"/>
      <sheetName val="データ"/>
      <sheetName val="COST1_3"/>
      <sheetName val="開發內容"/>
      <sheetName val="團險職團人"/>
      <sheetName val="拆除計畫"/>
      <sheetName val="基礎資料與審議資料"/>
      <sheetName val="獎勵容積"/>
      <sheetName val="銷售假設"/>
      <sheetName val="設計假設"/>
      <sheetName val="摘要表"/>
      <sheetName val="土地同意比例(951004)"/>
      <sheetName val="台南區"/>
      <sheetName val="面積計算表H48A"/>
      <sheetName val="I-98BASE"/>
      <sheetName val="BSIS98"/>
      <sheetName val="台灣縣市"/>
      <sheetName val="ORIX-AMC範本-20051003"/>
      <sheetName val="基本單價"/>
      <sheetName val="Sheet3"/>
      <sheetName val="WI0600"/>
      <sheetName val="WI0610"/>
      <sheetName val="明細"/>
      <sheetName val="法規資料表"/>
      <sheetName val="原始檔案-地號_"/>
      <sheetName val="Income_Tax_Calc-9703"/>
      <sheetName val="建_物_鑑_定_表"/>
      <sheetName val="開發內容假設"/>
      <sheetName val="Budget-LF-fy"/>
      <sheetName val="合建分配"/>
      <sheetName val="規劃方案"/>
      <sheetName val="X成本ex7"/>
      <sheetName val="X成本ex8"/>
      <sheetName val="X成本ex9"/>
      <sheetName val="報告內容"/>
      <sheetName val="土估表"/>
      <sheetName val="建估表"/>
      <sheetName val="memo"/>
      <sheetName val="建坪收益"/>
      <sheetName val="折現現金流量"/>
      <sheetName val="スキャン"/>
      <sheetName val="財報TB-曆"/>
      <sheetName val="ZP-VENDOR"/>
      <sheetName val="Sheet2"/>
      <sheetName val="Sheet4"/>
      <sheetName val="計算資料1"/>
      <sheetName val="報告格式--奎"/>
      <sheetName val="股東權益變動表 7100book-audit"/>
      <sheetName val="合法拆補"/>
      <sheetName val="車位填表"/>
      <sheetName val="準則"/>
      <sheetName val="LD_全-2.25"/>
      <sheetName val="LD_全-2_25"/>
      <sheetName val="Income_Tax_Calc-97031"/>
      <sheetName val="建_物_鑑_定_表1"/>
      <sheetName val="原始檔案-地號_1"/>
      <sheetName val="LD_全-2_251"/>
      <sheetName val="分攤比例"/>
      <sheetName val="基本定義"/>
      <sheetName val="資料"/>
      <sheetName val="#REF!"/>
      <sheetName val="股東權益變動表_7100book-audit"/>
    </sheetNames>
    <sheetDataSet>
      <sheetData sheetId="0" refreshError="1">
        <row r="500">
          <cell r="AB500" t="str">
            <v>物件類型</v>
          </cell>
        </row>
        <row r="501">
          <cell r="AB501" t="str">
            <v>a1</v>
          </cell>
        </row>
        <row r="502">
          <cell r="AB502" t="str">
            <v>a2</v>
          </cell>
        </row>
        <row r="503">
          <cell r="AB503" t="str">
            <v>a3</v>
          </cell>
        </row>
        <row r="504">
          <cell r="AB504" t="str">
            <v>a4</v>
          </cell>
        </row>
        <row r="505">
          <cell r="AB505" t="str">
            <v>a5</v>
          </cell>
        </row>
        <row r="506">
          <cell r="AB506" t="str">
            <v>a6</v>
          </cell>
        </row>
        <row r="507">
          <cell r="AB507" t="str">
            <v>b1</v>
          </cell>
        </row>
        <row r="508">
          <cell r="AB508" t="str">
            <v>b2</v>
          </cell>
        </row>
        <row r="509">
          <cell r="AB509" t="str">
            <v>b3</v>
          </cell>
        </row>
        <row r="510">
          <cell r="AB510" t="str">
            <v>b4</v>
          </cell>
        </row>
        <row r="511">
          <cell r="AB511" t="str">
            <v>b5</v>
          </cell>
        </row>
        <row r="512">
          <cell r="AB512" t="str">
            <v>b6</v>
          </cell>
        </row>
        <row r="513">
          <cell r="AB513" t="str">
            <v>c1</v>
          </cell>
        </row>
        <row r="514">
          <cell r="AB514" t="str">
            <v>c2</v>
          </cell>
        </row>
        <row r="515">
          <cell r="AB515" t="str">
            <v>c3</v>
          </cell>
        </row>
        <row r="516">
          <cell r="AB516" t="str">
            <v>c4</v>
          </cell>
        </row>
        <row r="517">
          <cell r="AB517" t="str">
            <v>c5</v>
          </cell>
        </row>
        <row r="518">
          <cell r="AB518" t="str">
            <v>c6</v>
          </cell>
        </row>
        <row r="519">
          <cell r="AB519" t="str">
            <v>c7</v>
          </cell>
        </row>
        <row r="520">
          <cell r="AB520" t="str">
            <v>d1</v>
          </cell>
        </row>
        <row r="521">
          <cell r="AB521" t="str">
            <v>d2</v>
          </cell>
        </row>
        <row r="522">
          <cell r="AB522" t="str">
            <v>d3</v>
          </cell>
        </row>
        <row r="523">
          <cell r="AB523" t="str">
            <v>d4</v>
          </cell>
        </row>
        <row r="524">
          <cell r="AB524" t="str">
            <v>d5</v>
          </cell>
        </row>
        <row r="525">
          <cell r="AB525" t="str">
            <v>f</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refreshError="1"/>
      <sheetData sheetId="86" refreshError="1"/>
      <sheetData sheetId="87" refreshError="1"/>
      <sheetData sheetId="88" refreshError="1"/>
      <sheetData sheetId="89"/>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Inputs Detail"/>
      <sheetName val="Other Calc"/>
      <sheetName val="FA Calc"/>
      <sheetName val="Tax Calc"/>
      <sheetName val="Valuation"/>
      <sheetName val="FinStats"/>
      <sheetName val="Template"/>
      <sheetName val="9207物價指數"/>
      <sheetName val="Sheet1"/>
      <sheetName val="85預算"/>
      <sheetName val="不同组合模式分析"/>
      <sheetName val="Sensitivities"/>
      <sheetName val="TornadoCharts"/>
      <sheetName val="US$ Real"/>
      <sheetName val="Value"/>
      <sheetName val="Global Inputs"/>
      <sheetName val="土地鑑定表"/>
      <sheetName val="Appendix Encumbrances"/>
      <sheetName val="Summary"/>
      <sheetName val="Cash Flow"/>
      <sheetName val="計算檢核"/>
      <sheetName val="I-98BASE"/>
      <sheetName val="參數"/>
      <sheetName val="BSIS98"/>
      <sheetName val="年0元"/>
      <sheetName val="單價分析"/>
      <sheetName val="CostSchedule"/>
      <sheetName val="分攤比例"/>
      <sheetName val="LD_全-2.25"/>
      <sheetName val="摘要表"/>
      <sheetName val="menu"/>
      <sheetName val="Datascreen"/>
      <sheetName val="Summary of Facts"/>
      <sheetName val="更新整體開發收益表"/>
      <sheetName val="拆除計畫"/>
      <sheetName val="基礎資料與審議資料"/>
      <sheetName val="INFO"/>
      <sheetName val="團險職團人"/>
      <sheetName val="收金人件"/>
      <sheetName val="controls"/>
      <sheetName val="合建分配"/>
      <sheetName val="Sheet2"/>
      <sheetName val="規劃方案"/>
      <sheetName val="Sheet3"/>
      <sheetName val="Sheet4"/>
      <sheetName val="建 物 鑑 定 表"/>
      <sheetName val="#REF"/>
      <sheetName val="獎勵容積"/>
      <sheetName val="銷售假設"/>
      <sheetName val="設計假設"/>
      <sheetName val="開發內容"/>
      <sheetName val="PO AP相關明細"/>
      <sheetName val="資產總明細"/>
      <sheetName val="計算資料1"/>
      <sheetName val="DCF SJZ San Lu Parent"/>
      <sheetName val="Datatape"/>
      <sheetName val="2004"/>
      <sheetName val="Income Tax Calc-9703"/>
      <sheetName val="スキャン"/>
      <sheetName val="Inputs_Detail"/>
      <sheetName val="Other_Calc"/>
      <sheetName val="FA_Calc"/>
      <sheetName val="Tax_Calc"/>
      <sheetName val="LD_全-2_25"/>
      <sheetName val="Global_Inputs"/>
      <sheetName val="US$_Real"/>
      <sheetName val="Summary_of_Facts"/>
      <sheetName val="Appendix_Encumbrances"/>
      <sheetName val="Cash_Flow"/>
      <sheetName val="PO_AP相關明細"/>
      <sheetName val="建_物_鑑_定_表"/>
      <sheetName val="DCF_SJZ_San_Lu_Parent"/>
    </sheetNames>
    <sheetDataSet>
      <sheetData sheetId="0"/>
      <sheetData sheetId="1">
        <row r="10">
          <cell r="J10" t="str">
            <v>SJZ San Lu</v>
          </cell>
        </row>
        <row r="138">
          <cell r="E138">
            <v>10</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預算書"/>
      <sheetName val="單價分析表 "/>
      <sheetName val="工程數量計算"/>
      <sheetName val="Inputs"/>
      <sheetName val="9207物價指數"/>
      <sheetName val="單價分析"/>
      <sheetName val="Datatape"/>
      <sheetName val="Sheet1"/>
      <sheetName val="合建分配"/>
      <sheetName val="規劃方案"/>
      <sheetName val="分攤比例"/>
      <sheetName val="單價分析表_"/>
      <sheetName val="單價分析表_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預算總表"/>
      <sheetName val="標單"/>
      <sheetName val="演奏廳各期計價"/>
      <sheetName val="單價分析表 "/>
      <sheetName val="Inputs"/>
      <sheetName val="Sheet1"/>
      <sheetName val="9207物價指數"/>
      <sheetName val="單價分析表_"/>
      <sheetName val="單價分析表_1"/>
      <sheetName val="Definitions"/>
      <sheetName val="單價分析表_2"/>
      <sheetName val="單價分析表_3"/>
      <sheetName val="單價分析表_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規劃方案"/>
      <sheetName val="合建分配"/>
      <sheetName val="營建成本"/>
      <sheetName val="現金流量分析"/>
      <sheetName val="Sheet1"/>
      <sheetName val="市場分析"/>
      <sheetName val="Datatape"/>
      <sheetName val="外15薪基84"/>
      <sheetName val="更新整體開發收益表"/>
      <sheetName val="Codes"/>
      <sheetName val="預算總表"/>
      <sheetName val="拆除計畫"/>
      <sheetName val="基礎資料與審議資料"/>
      <sheetName val="土地"/>
      <sheetName val="9207物價指數"/>
      <sheetName val="Inputs"/>
      <sheetName val="DATABASE"/>
      <sheetName val="2F無塵室"/>
      <sheetName val="表21 净利润调节表"/>
      <sheetName val="H32"/>
      <sheetName val="收金人件"/>
      <sheetName val="設定"/>
      <sheetName val="Swingセル内DATA"/>
      <sheetName val="開發內容"/>
      <sheetName val="Budget-LF-fy"/>
      <sheetName val="代碼檔"/>
      <sheetName val="松山區美仁段(c)"/>
      <sheetName val="Sheet D-1"/>
      <sheetName val="股東權益變動表 7100book-audit"/>
      <sheetName val="計算檢核"/>
      <sheetName val="計算資料1"/>
      <sheetName val="C to R"/>
      <sheetName val="土地同意比例(951004)"/>
      <sheetName val="土地初估"/>
      <sheetName val="建物初估"/>
      <sheetName val="相片"/>
      <sheetName val="建 物 鑑 定 表"/>
      <sheetName val="Sheet5"/>
      <sheetName val="Sheet2"/>
      <sheetName val="Sheet3"/>
      <sheetName val="Sheet4"/>
      <sheetName val="memo"/>
      <sheetName val="85預算"/>
      <sheetName val="ref"/>
      <sheetName val="輸入"/>
      <sheetName val="摘要"/>
      <sheetName val="表21_净利润调节表"/>
      <sheetName val="股東權益變動表_7100book-audit"/>
      <sheetName val="C_to_R"/>
      <sheetName val="Sheet_D-1"/>
      <sheetName val="建_物_鑑_定_表"/>
      <sheetName val="現地安置面積與應分配價值計算表"/>
      <sheetName val="表21_净利润调节表1"/>
      <sheetName val="Sheet_D-11"/>
      <sheetName val="股東權益變動表_7100book-audit1"/>
      <sheetName val="C_to_R1"/>
      <sheetName val="建_物_鑑_定_表1"/>
      <sheetName val="表21_净利润调节表2"/>
      <sheetName val="Sheet_D-12"/>
      <sheetName val="股東權益變動表_7100book-audit2"/>
      <sheetName val="C_to_R2"/>
      <sheetName val="建_物_鑑_定_表2"/>
      <sheetName val="表21_净利润调节表3"/>
      <sheetName val="股東權益變動表_7100book-audit3"/>
      <sheetName val="C_to_R3"/>
      <sheetName val="建_物_鑑_定_表3"/>
      <sheetName val="Sheet_D-13"/>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規劃方案"/>
      <sheetName val="合建分配"/>
      <sheetName val="營建成本"/>
      <sheetName val="現金流量分析"/>
      <sheetName val="Sheet1"/>
      <sheetName val="市場分析"/>
    </sheetNames>
    <sheetDataSet>
      <sheetData sheetId="0"/>
      <sheetData sheetId="1"/>
      <sheetData sheetId="2"/>
      <sheetData sheetId="3"/>
      <sheetData sheetId="4"/>
      <sheetData sheetId="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收金人件"/>
      <sheetName val="外非15人"/>
      <sheetName val="外15人"/>
      <sheetName val="Datatape"/>
      <sheetName val="85預算"/>
      <sheetName val="合建分配"/>
      <sheetName val="規劃方案"/>
      <sheetName val="Sheet1"/>
      <sheetName val="Inputs"/>
      <sheetName val="分攤比例"/>
      <sheetName val="外15薪基84"/>
      <sheetName val="開發內容"/>
      <sheetName val="獎勵容積"/>
      <sheetName val="9207物價指數"/>
      <sheetName val="代碼檔"/>
      <sheetName val="預算總表"/>
      <sheetName val="Collateral"/>
      <sheetName val="應收退稅款"/>
      <sheetName val="更新整體開發收益表"/>
      <sheetName val="單價分析表 "/>
      <sheetName val="土地同意比例(951004)"/>
      <sheetName val="COST1_3"/>
      <sheetName val="Income Tax Calc-9703"/>
      <sheetName val="土地"/>
      <sheetName val="單價分析表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地同意比例(委員會960420)"/>
      <sheetName val="建物同意比例(委員會960420)"/>
      <sheetName val="事業計畫土地謄本(委員會960420) "/>
      <sheetName val="事業計畫建物謄本(委員會960420)"/>
      <sheetName val="土地同意比例(951004)"/>
      <sheetName val="建物同意比例(951004)"/>
      <sheetName val="事業計畫產權分析"/>
      <sheetName val="事業計畫土地謄本(送件前951004) "/>
      <sheetName val="事業計畫建物謄本 (送件前951004) "/>
      <sheetName val="測量用資料"/>
      <sheetName val="建物使用情況"/>
      <sheetName val="事業計畫範圍土地謄本 "/>
      <sheetName val="事業計畫範圍建物謄本 "/>
      <sheetName val="土地謄本資料"/>
      <sheetName val="建物謄本資料"/>
      <sheetName val="事業概要範圍土地謄本"/>
      <sheetName val="事業概要範圍建物謄本"/>
      <sheetName val="事業概要產權清冊"/>
      <sheetName val="事業概要同意比例"/>
      <sheetName val="Sheet1"/>
      <sheetName val="Sheet2"/>
      <sheetName val="門牌清冊"/>
      <sheetName val="合建分配"/>
      <sheetName val="規劃方案"/>
      <sheetName val="收金人件"/>
    </sheetNames>
    <sheetDataSet>
      <sheetData sheetId="0"/>
      <sheetData sheetId="1"/>
      <sheetData sheetId="2"/>
      <sheetData sheetId="3"/>
      <sheetData sheetId="4" refreshError="1">
        <row r="34">
          <cell r="D34">
            <v>2050.1</v>
          </cell>
          <cell r="F34">
            <v>2034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金結構"/>
      <sheetName val="投信基金"/>
      <sheetName val="現金流量(1)"/>
      <sheetName val="現金流量 (2)"/>
      <sheetName val="開發內容"/>
      <sheetName val="摘要"/>
      <sheetName val="代碼檔"/>
      <sheetName val="合建分配"/>
      <sheetName val="規劃方案"/>
      <sheetName val="收金人件"/>
      <sheetName val="土地同意比例(951004)"/>
      <sheetName val="COST1_3"/>
      <sheetName val="現地安置面積與應分配價值計算表"/>
      <sheetName val="Sheet1"/>
      <sheetName val="menu"/>
      <sheetName val="9207物價指數"/>
      <sheetName val="LD_全-2.25"/>
      <sheetName val="XREF"/>
      <sheetName val="外15薪基84"/>
      <sheetName val="Collateral"/>
      <sheetName val="計算檢核"/>
      <sheetName val="安全驗證"/>
      <sheetName val="設定"/>
      <sheetName val="Swingセル内DATA"/>
      <sheetName val="値付くん"/>
      <sheetName val="Inputs"/>
      <sheetName val="Curves"/>
      <sheetName val="Raw Data"/>
      <sheetName val="股東權益變動表 7100book-audit"/>
      <sheetName val="Top"/>
      <sheetName val="參數"/>
      <sheetName val="85預算"/>
      <sheetName val="現金流量_(2)"/>
      <sheetName val="LD_全-2_25"/>
      <sheetName val="建 物 鑑 定 表"/>
      <sheetName val="土地"/>
      <sheetName val="I-98BASE"/>
      <sheetName val="BSIS98"/>
      <sheetName val="ref"/>
      <sheetName val="Sheet2"/>
      <sheetName val="Sheet3"/>
      <sheetName val="Sheet4"/>
      <sheetName val="受理日報表"/>
      <sheetName val="Datatape"/>
      <sheetName val="現金流量_(2)1"/>
      <sheetName val="LD_全-2_251"/>
      <sheetName val="Raw_Data"/>
      <sheetName val="股東權益變動表_7100book-audit"/>
      <sheetName val="建_物_鑑_定_表"/>
      <sheetName val="現金流量_(2)2"/>
      <sheetName val="LD_全-2_252"/>
      <sheetName val="Raw_Data1"/>
      <sheetName val="股東權益變動表_7100book-audit1"/>
      <sheetName val="建_物_鑑_定_表1"/>
      <sheetName val="C to R"/>
      <sheetName val="輸入"/>
      <sheetName val="計算資料1"/>
      <sheetName val="雙連案財務分析0825"/>
      <sheetName val="가정"/>
      <sheetName val="C_to_R1"/>
      <sheetName val="C_to_R"/>
      <sheetName val="現金流量_(2)3"/>
      <sheetName val="LD_全-2_253"/>
      <sheetName val="Raw_Data2"/>
      <sheetName val="股東權益變動表_7100book-audit2"/>
      <sheetName val="建_物_鑑_定_表2"/>
      <sheetName val="現金流量_(2)4"/>
      <sheetName val="LD_全-2_254"/>
      <sheetName val="Raw_Data3"/>
      <sheetName val="股東權益變動表_7100book-audit3"/>
      <sheetName val="建_物_鑑_定_表3"/>
      <sheetName val="現金流量_(2)5"/>
      <sheetName val="LD_全-2_255"/>
      <sheetName val="Raw_Data4"/>
      <sheetName val="股東權益變動表_7100book-audit4"/>
      <sheetName val="建_物_鑑_定_表4"/>
      <sheetName val="C_to_R2"/>
      <sheetName val="現金流量_(2)7"/>
      <sheetName val="LD_全-2_257"/>
      <sheetName val="Raw_Data6"/>
      <sheetName val="股東權益變動表_7100book-audit6"/>
      <sheetName val="建_物_鑑_定_表6"/>
      <sheetName val="C_to_R4"/>
      <sheetName val="現金流量_(2)6"/>
      <sheetName val="LD_全-2_256"/>
      <sheetName val="Raw_Data5"/>
      <sheetName val="股東權益變動表_7100book-audit5"/>
      <sheetName val="建_物_鑑_定_表5"/>
      <sheetName val="C_to_R3"/>
      <sheetName val="Codes"/>
      <sheetName val="不同组合模式分析"/>
      <sheetName val="基本單價"/>
      <sheetName val="現金流量_(2)8"/>
      <sheetName val="LD_全-2_258"/>
      <sheetName val="Raw_Data7"/>
      <sheetName val="股東權益變動表_7100book-audit7"/>
      <sheetName val="建_物_鑑_定_表7"/>
      <sheetName val="C_to_R5"/>
      <sheetName val="controls"/>
    </sheetNames>
    <sheetDataSet>
      <sheetData sheetId="0" refreshError="1"/>
      <sheetData sheetId="1" refreshError="1"/>
      <sheetData sheetId="2" refreshError="1"/>
      <sheetData sheetId="3" refreshError="1"/>
      <sheetData sheetId="4" refreshError="1">
        <row r="31">
          <cell r="C31">
            <v>5.0000000000000001E-3</v>
          </cell>
        </row>
        <row r="32">
          <cell r="C32">
            <v>0.1</v>
          </cell>
        </row>
        <row r="33">
          <cell r="C33">
            <v>0.05</v>
          </cell>
        </row>
        <row r="37">
          <cell r="F37">
            <v>1200167.4936094959</v>
          </cell>
        </row>
        <row r="42">
          <cell r="F42">
            <v>821713.94776311319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sheetData sheetId="93"/>
      <sheetData sheetId="94"/>
      <sheetData sheetId="95"/>
      <sheetData sheetId="96"/>
      <sheetData sheetId="97"/>
      <sheetData sheetId="9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1_3"/>
      <sheetName val="COST"/>
      <sheetName val="COST1_"/>
      <sheetName val="COST1"/>
      <sheetName val="單價分析"/>
      <sheetName val="開發內容"/>
      <sheetName val="LD_全-2.25"/>
      <sheetName val="建 物 鑑 定 表"/>
      <sheetName val="合建分配"/>
      <sheetName val="規劃方案"/>
      <sheetName val="土地"/>
      <sheetName val="土地同意比例(951004)"/>
      <sheetName val="代碼檔"/>
      <sheetName val="摘要"/>
      <sheetName val="獎勵容積"/>
      <sheetName val="銷售假設"/>
      <sheetName val="設計假設"/>
      <sheetName val="收金人件"/>
      <sheetName val="透天厝房地分離 2"/>
      <sheetName val="9207物價指數"/>
      <sheetName val="controls"/>
      <sheetName val="公設明細"/>
      <sheetName val="Sheet1"/>
      <sheetName val="Sheet2"/>
      <sheetName val="Sheet3"/>
      <sheetName val="Sheet4"/>
      <sheetName val="Datascreen"/>
      <sheetName val="基本單價"/>
      <sheetName val="品名参照"/>
      <sheetName val="土地增值稅"/>
      <sheetName val="計算檢核"/>
      <sheetName val="安全驗證"/>
      <sheetName val="摘要表"/>
      <sheetName val="土地鑑定表"/>
      <sheetName val="入力用(家賃)"/>
      <sheetName val="入力用(駐車)"/>
      <sheetName val="ベース"/>
      <sheetName val="LD"/>
      <sheetName val="輸入"/>
      <sheetName val="85預算"/>
      <sheetName val="LD_全-2_25"/>
      <sheetName val="建_物_鑑_定_表"/>
      <sheetName val="年0元"/>
      <sheetName val="鋼筋號數表"/>
      <sheetName val="開發內容假設"/>
      <sheetName val="menu"/>
      <sheetName val="大建"/>
      <sheetName val="LD_全-2_252"/>
      <sheetName val="建_物_鑑_定_表2"/>
      <sheetName val="透天厝房地分離_21"/>
      <sheetName val="LD_全-2_251"/>
      <sheetName val="建_物_鑑_定_表1"/>
      <sheetName val="透天厝房地分離_2"/>
      <sheetName val="LD_全-2_253"/>
      <sheetName val="建_物_鑑_定_表3"/>
      <sheetName val="透天厝房地分離_22"/>
      <sheetName val="LD_全-2_254"/>
      <sheetName val="建_物_鑑_定_表4"/>
      <sheetName val="透天厝房地分離_23"/>
      <sheetName val="LD_全-2_255"/>
      <sheetName val="建_物_鑑_定_表5"/>
      <sheetName val="透天厝房地分離_24"/>
      <sheetName val="LD_全-2_257"/>
      <sheetName val="建_物_鑑_定_表7"/>
      <sheetName val="透天厝房地分離_26"/>
      <sheetName val="LD_全-2_256"/>
      <sheetName val="建_物_鑑_定_表6"/>
      <sheetName val="透天厝房地分離_25"/>
      <sheetName val="LD_全-2_258"/>
      <sheetName val="建_物_鑑_定_表8"/>
      <sheetName val="透天厝房地分離_27"/>
      <sheetName val="進度及設定"/>
      <sheetName val="資金運用表"/>
    </sheetNames>
    <sheetDataSet>
      <sheetData sheetId="0" refreshError="1">
        <row r="7">
          <cell r="D7">
            <v>12</v>
          </cell>
        </row>
        <row r="8">
          <cell r="D8">
            <v>3</v>
          </cell>
        </row>
        <row r="10">
          <cell r="D10">
            <v>9</v>
          </cell>
        </row>
        <row r="12">
          <cell r="D12">
            <v>224</v>
          </cell>
        </row>
        <row r="13">
          <cell r="D13" t="str">
            <v>RC</v>
          </cell>
        </row>
        <row r="14">
          <cell r="D14">
            <v>3</v>
          </cell>
        </row>
        <row r="16">
          <cell r="D16">
            <v>12480</v>
          </cell>
        </row>
        <row r="17">
          <cell r="D17">
            <v>6000</v>
          </cell>
        </row>
        <row r="18">
          <cell r="D18">
            <v>0.6</v>
          </cell>
        </row>
        <row r="22">
          <cell r="D22" t="str">
            <v>磁磚</v>
          </cell>
        </row>
        <row r="23">
          <cell r="D23" t="str">
            <v>磁磚</v>
          </cell>
        </row>
        <row r="28">
          <cell r="D28" t="str">
            <v>一般</v>
          </cell>
        </row>
      </sheetData>
      <sheetData sheetId="1">
        <row r="7">
          <cell r="D7">
            <v>12</v>
          </cell>
        </row>
      </sheetData>
      <sheetData sheetId="2">
        <row r="7">
          <cell r="D7">
            <v>12</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ow r="7">
          <cell r="D7" t="str">
            <v>個月</v>
          </cell>
        </row>
      </sheetData>
      <sheetData sheetId="7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Sheet1"/>
      <sheetName val="工程預算明細表"/>
      <sheetName val="單價分析表"/>
      <sheetName val="基本單價"/>
      <sheetName val="標單"/>
      <sheetName val="工程數量計算表"/>
      <sheetName val="單價分析標單"/>
      <sheetName val="COST1_3"/>
      <sheetName val="收金人件"/>
      <sheetName val="代碼檔"/>
      <sheetName val="Sheet2"/>
      <sheetName val="Sheet3"/>
      <sheetName val="Sheet4"/>
      <sheetName val="土地同意比例(951004)"/>
      <sheetName val="開發內容"/>
      <sheetName val="定義 五金表"/>
      <sheetName val="合建分配"/>
      <sheetName val="規劃方案"/>
      <sheetName val="鋼筋資料"/>
      <sheetName val="定義_五金表"/>
    </sheetNames>
    <sheetDataSet>
      <sheetData sheetId="0" refreshError="1"/>
      <sheetData sheetId="1" refreshError="1"/>
      <sheetData sheetId="2" refreshError="1"/>
      <sheetData sheetId="3" refreshError="1"/>
      <sheetData sheetId="4" refreshError="1">
        <row r="7">
          <cell r="E7">
            <v>1680</v>
          </cell>
        </row>
        <row r="23">
          <cell r="E23">
            <v>700</v>
          </cell>
        </row>
        <row r="24">
          <cell r="E24">
            <v>690</v>
          </cell>
        </row>
        <row r="25">
          <cell r="E25">
            <v>115</v>
          </cell>
        </row>
        <row r="29">
          <cell r="E29">
            <v>9350</v>
          </cell>
        </row>
        <row r="34">
          <cell r="E34">
            <v>550</v>
          </cell>
        </row>
        <row r="37">
          <cell r="E37">
            <v>600</v>
          </cell>
        </row>
        <row r="39">
          <cell r="E39">
            <v>580</v>
          </cell>
        </row>
        <row r="40">
          <cell r="E40">
            <v>30</v>
          </cell>
        </row>
        <row r="41">
          <cell r="E41">
            <v>30</v>
          </cell>
        </row>
        <row r="43">
          <cell r="E43">
            <v>25</v>
          </cell>
        </row>
        <row r="50">
          <cell r="E50">
            <v>25</v>
          </cell>
        </row>
        <row r="53">
          <cell r="E53">
            <v>1500</v>
          </cell>
        </row>
        <row r="54">
          <cell r="E54">
            <v>1700</v>
          </cell>
        </row>
        <row r="61">
          <cell r="E61">
            <v>1800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Y土地01"/>
      <sheetName val="TRT合建01"/>
      <sheetName val="TRY營造01"/>
      <sheetName val="TRY售價01"/>
      <sheetName val="TRY營造02"/>
      <sheetName val="TRY營造03"/>
      <sheetName val="TRY營造04"/>
      <sheetName val="TRT合建02"/>
      <sheetName val="TRT合建03"/>
      <sheetName val="TRY土地02"/>
      <sheetName val="TRY土地03"/>
      <sheetName val="TRY售價02"/>
      <sheetName val="TRY售價03"/>
      <sheetName val="法規資料表"/>
      <sheetName val="成本分析表1"/>
      <sheetName val="土地清冊面積"/>
      <sheetName val="地主面積分配表"/>
      <sheetName val="設計費及社區管理費"/>
      <sheetName val="容積移轉平均公告現值"/>
      <sheetName val="其他支出明細表"/>
      <sheetName val="輸入"/>
      <sheetName val="基本單價"/>
      <sheetName val="COST1_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面板"/>
      <sheetName val="輸入"/>
      <sheetName val="首頁"/>
      <sheetName val="次頁"/>
      <sheetName val="摘要"/>
      <sheetName val="土地"/>
      <sheetName val="建物"/>
      <sheetName val="總表"/>
      <sheetName val="個徵表"/>
      <sheetName val="個徵2"/>
      <sheetName val="工作底稿"/>
      <sheetName val="試算"/>
      <sheetName val="北市容積及造價 "/>
      <sheetName val="北縣容積"/>
      <sheetName val="SFI"/>
      <sheetName val="土地融資"/>
      <sheetName val="標準分戶"/>
      <sheetName val="銷售預估"/>
      <sheetName val="面積區"/>
      <sheetName val="分戶(車位視為共同)"/>
      <sheetName val="分戶(無車位)"/>
      <sheetName val="土地還原1"/>
      <sheetName val="土地還原2"/>
      <sheetName val="土地還原3"/>
      <sheetName val="Limited"/>
      <sheetName val="Full"/>
      <sheetName val="天鵬"/>
      <sheetName val="各戶價值分析表"/>
      <sheetName val="Price"/>
      <sheetName val="9207物價指數"/>
      <sheetName val="List"/>
      <sheetName val="合法拆補"/>
      <sheetName val="拆除計畫"/>
      <sheetName val="開發內容假設"/>
      <sheetName val="ORIX-AMC範本-20051003"/>
      <sheetName val="法規資料表"/>
      <sheetName val="物價指數(一)"/>
      <sheetName val="物價指數(二)"/>
      <sheetName val="物價指數(一)(重整)"/>
      <sheetName val="9611物價指數"/>
      <sheetName val="車位填表"/>
      <sheetName val="計算檢核"/>
      <sheetName val="基本單價"/>
      <sheetName val="開發內容"/>
      <sheetName val="土地同意比例(951004)"/>
      <sheetName val="代碼檔"/>
      <sheetName val="名稱"/>
      <sheetName val="COST1_3"/>
      <sheetName val="違章處理結果"/>
      <sheetName val="menu"/>
      <sheetName val="品名参照"/>
      <sheetName val="._ls_._ls_._ls_._ls_._ls_._ls_."/>
      <sheetName val="Datascreen"/>
      <sheetName val="建 物 鑑 定 表"/>
      <sheetName val="年0元"/>
      <sheetName val="LD_全-2.25"/>
      <sheetName val="工程預算表"/>
      <sheetName val="面積計算表H66A"/>
      <sheetName val="外15薪基84"/>
      <sheetName val="9309物價指數"/>
      <sheetName val="現地安置面積與應分配價值計算表"/>
      <sheetName val="合建分配"/>
      <sheetName val="規劃方案"/>
      <sheetName val="Sheet1"/>
      <sheetName val="Summary"/>
      <sheetName val="Collateral"/>
      <sheetName val="Datatape"/>
      <sheetName val="Controls"/>
      <sheetName val="データ"/>
      <sheetName val="塗銷"/>
      <sheetName val="Address"/>
      <sheetName val="Index"/>
      <sheetName val="台灣縣市"/>
      <sheetName val="收金人件"/>
      <sheetName val="FIN"/>
      <sheetName val="Cashflow"/>
      <sheetName val="LD"/>
      <sheetName val="Inputs"/>
      <sheetName val="Sheet2"/>
      <sheetName val="Sheet3"/>
      <sheetName val="Sheet4"/>
      <sheetName val="塗銷表"/>
      <sheetName val="明細"/>
      <sheetName val="北市容積及造價_"/>
      <sheetName val="MFG聚餐"/>
      <sheetName val="台灣鄉鎮市區清單"/>
      <sheetName val="地震及火災險參考資料"/>
      <sheetName val="LD_全-2_25"/>
      <sheetName val="基本定義"/>
      <sheetName val="表07(總計)"/>
      <sheetName val="參數"/>
      <sheetName val="表06"/>
      <sheetName val="工料單價表"/>
      <sheetName val="估算說明"/>
      <sheetName val="資料"/>
      <sheetName val="#REF!"/>
      <sheetName val="序言_荷銀"/>
      <sheetName val="建_物_鑑_定_表"/>
      <sheetName val="__ls___ls___ls___ls___ls___ls__"/>
      <sheetName val="北市容積及造價_1"/>
      <sheetName val="建_物_鑑_定_表1"/>
      <sheetName val="__ls___ls___ls___ls___ls___ls_1"/>
      <sheetName val="LD_全-2_251"/>
      <sheetName val="獎勵容積"/>
      <sheetName val="銷售假設"/>
      <sheetName val="設計假設"/>
      <sheetName val="報告內容"/>
      <sheetName val="土估表"/>
      <sheetName val="建估表"/>
      <sheetName val="個人估價"/>
      <sheetName val="報價總表"/>
      <sheetName val="北市容積及造價_2"/>
      <sheetName val="__ls___ls___ls___ls___ls___ls_2"/>
      <sheetName val="LD_全-2_252"/>
      <sheetName val="建_物_鑑_定_表2"/>
      <sheetName val="北市容積及造價_3"/>
      <sheetName val="__ls___ls___ls___ls___ls___ls_3"/>
      <sheetName val="LD_全-2_253"/>
      <sheetName val="建_物_鑑_定_表3"/>
      <sheetName val="北市容積及造價_4"/>
      <sheetName val="__ls___ls___ls___ls___ls___ls_4"/>
      <sheetName val="LD_全-2_254"/>
      <sheetName val="建_物_鑑_定_表4"/>
      <sheetName val="INPUTE"/>
      <sheetName val="北市容積及造價_5"/>
      <sheetName val="建_物_鑑_定_表5"/>
      <sheetName val="__ls___ls___ls___ls___ls___ls_5"/>
      <sheetName val="LD_全-2_255"/>
      <sheetName val="92_06_30止"/>
      <sheetName val="計算資料1"/>
      <sheetName val="INCOME"/>
      <sheetName val="BALANCE"/>
      <sheetName val="Main"/>
      <sheetName val="Income Tax Calc-9703"/>
      <sheetName val="memo"/>
      <sheetName val="比較法-2"/>
      <sheetName val="9408物價指數"/>
      <sheetName val="Info."/>
      <sheetName val="連結檔"/>
    </sheetNames>
    <sheetDataSet>
      <sheetData sheetId="0" refreshError="1"/>
      <sheetData sheetId="1" refreshError="1"/>
      <sheetData sheetId="2"/>
      <sheetData sheetId="3" refreshError="1"/>
      <sheetData sheetId="4" refreshError="1"/>
      <sheetData sheetId="5" refreshError="1">
        <row r="6">
          <cell r="H6">
            <v>8412371.8444920015</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比價表"/>
      <sheetName val="RF景觀"/>
      <sheetName val="Sheet1"/>
      <sheetName val="進度及設定"/>
      <sheetName val="資金運用表"/>
    </sheetNames>
    <sheetDataSet>
      <sheetData sheetId="0">
        <row r="4">
          <cell r="B4" t="str">
            <v>總價承攬﹐責任施工。</v>
          </cell>
        </row>
        <row r="5">
          <cell r="B5" t="str">
            <v>總價承攬﹐進度比例估驗﹐責任施工。</v>
          </cell>
        </row>
        <row r="6">
          <cell r="B6" t="str">
            <v>實做實算﹐責任施工。</v>
          </cell>
        </row>
        <row r="7">
          <cell r="B7" t="str">
            <v>實做實算﹐完工結算﹔進度比例估驗﹐責任施工。</v>
          </cell>
        </row>
        <row r="10">
          <cell r="B10" t="str">
            <v>100%即期日支票。</v>
          </cell>
        </row>
        <row r="11">
          <cell r="B11" t="str">
            <v>50%即期日支票﹐50%一個月期票。</v>
          </cell>
        </row>
        <row r="12">
          <cell r="B12" t="str">
            <v>50%即期日支票﹐50%二個月期票。</v>
          </cell>
        </row>
        <row r="13">
          <cell r="B13" t="str">
            <v>100%一個月期票。</v>
          </cell>
        </row>
        <row r="14">
          <cell r="B14" t="str">
            <v>100%二個月期票。</v>
          </cell>
        </row>
        <row r="15">
          <cell r="B15" t="str">
            <v>50%即期日電匯﹐50%一個月到期電匯。</v>
          </cell>
        </row>
        <row r="16">
          <cell r="B16" t="str">
            <v>50%即期日電匯﹐50%二個月到期電匯。</v>
          </cell>
        </row>
        <row r="17">
          <cell r="B17" t="str">
            <v>100%一個月到期電匯。</v>
          </cell>
        </row>
        <row r="18">
          <cell r="B18" t="str">
            <v>100%二個月到期電匯。</v>
          </cell>
        </row>
      </sheetData>
      <sheetData sheetId="1" refreshError="1"/>
      <sheetData sheetId="2" refreshError="1"/>
      <sheetData sheetId="3" refreshError="1"/>
      <sheetData sheetId="4"/>
      <sheetData sheetId="5">
        <row r="4">
          <cell r="B4" t="str">
            <v>資金來源</v>
          </cell>
        </row>
      </sheetData>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207物價指數"/>
      <sheetName val="Chart1"/>
      <sheetName val="NT"/>
      <sheetName val="9207____"/>
      <sheetName val="摘要"/>
      <sheetName val="輸入"/>
      <sheetName val="獎勵容積"/>
      <sheetName val="銷售假設"/>
      <sheetName val="設計假設"/>
      <sheetName val="摘要表"/>
      <sheetName val="基本單價"/>
      <sheetName val="Sheet1"/>
      <sheetName val="ORIX-AMC範本-20051003"/>
      <sheetName val="Sheet3"/>
      <sheetName val="menu"/>
      <sheetName val="更新整體開發收益表"/>
      <sheetName val="單價分析"/>
      <sheetName val="85預算"/>
      <sheetName val="不同组合模式分析"/>
      <sheetName val="違章處理結果"/>
      <sheetName val="Datascreen"/>
    </sheetNames>
    <sheetDataSet>
      <sheetData sheetId="0" refreshError="1">
        <row r="500">
          <cell r="Y500" t="str">
            <v>擔保品座落縣市</v>
          </cell>
          <cell r="AB500" t="str">
            <v>物件類型</v>
          </cell>
        </row>
        <row r="501">
          <cell r="Y501" t="str">
            <v>台北市</v>
          </cell>
          <cell r="AB501" t="str">
            <v>a1</v>
          </cell>
        </row>
        <row r="502">
          <cell r="Y502" t="str">
            <v>台北縣</v>
          </cell>
          <cell r="AB502" t="str">
            <v>a2</v>
          </cell>
        </row>
        <row r="503">
          <cell r="Y503" t="str">
            <v>基隆市</v>
          </cell>
          <cell r="AB503" t="str">
            <v>a3</v>
          </cell>
        </row>
        <row r="504">
          <cell r="Y504" t="str">
            <v>桃園縣</v>
          </cell>
          <cell r="AB504" t="str">
            <v>a4</v>
          </cell>
        </row>
        <row r="505">
          <cell r="Y505" t="str">
            <v>新竹市</v>
          </cell>
          <cell r="AB505" t="str">
            <v>a5</v>
          </cell>
        </row>
        <row r="506">
          <cell r="Y506" t="str">
            <v>新竹縣</v>
          </cell>
          <cell r="AB506" t="str">
            <v>a6</v>
          </cell>
        </row>
        <row r="507">
          <cell r="Y507" t="str">
            <v>苗栗縣</v>
          </cell>
          <cell r="AB507" t="str">
            <v>b1</v>
          </cell>
        </row>
        <row r="508">
          <cell r="Y508" t="str">
            <v>台中市</v>
          </cell>
          <cell r="AB508" t="str">
            <v>b2</v>
          </cell>
        </row>
        <row r="509">
          <cell r="Y509" t="str">
            <v>台中縣</v>
          </cell>
          <cell r="AB509" t="str">
            <v>b3</v>
          </cell>
        </row>
        <row r="510">
          <cell r="Y510" t="str">
            <v>南投縣</v>
          </cell>
          <cell r="AB510" t="str">
            <v>b4</v>
          </cell>
        </row>
        <row r="511">
          <cell r="Y511" t="str">
            <v>彰化縣</v>
          </cell>
          <cell r="AB511" t="str">
            <v>b5</v>
          </cell>
        </row>
        <row r="512">
          <cell r="Y512" t="str">
            <v>雲林縣</v>
          </cell>
          <cell r="AB512" t="str">
            <v>b6</v>
          </cell>
        </row>
        <row r="513">
          <cell r="Y513" t="str">
            <v>嘉義縣</v>
          </cell>
          <cell r="AB513" t="str">
            <v>c1</v>
          </cell>
        </row>
        <row r="514">
          <cell r="Y514" t="str">
            <v>台南市</v>
          </cell>
          <cell r="AB514" t="str">
            <v>c2</v>
          </cell>
        </row>
        <row r="515">
          <cell r="Y515" t="str">
            <v>台南縣</v>
          </cell>
          <cell r="AB515" t="str">
            <v>c3</v>
          </cell>
        </row>
        <row r="516">
          <cell r="Y516" t="str">
            <v>高雄市</v>
          </cell>
          <cell r="AB516" t="str">
            <v>c4</v>
          </cell>
        </row>
        <row r="517">
          <cell r="Y517" t="str">
            <v>高雄縣</v>
          </cell>
          <cell r="AB517" t="str">
            <v>c5</v>
          </cell>
        </row>
        <row r="518">
          <cell r="Y518" t="str">
            <v>屏東縣</v>
          </cell>
          <cell r="AB518" t="str">
            <v>c6</v>
          </cell>
        </row>
        <row r="519">
          <cell r="Y519" t="str">
            <v>花蓮縣</v>
          </cell>
          <cell r="AB519" t="str">
            <v>c7</v>
          </cell>
        </row>
        <row r="520">
          <cell r="Y520" t="str">
            <v>台東縣</v>
          </cell>
          <cell r="AB520" t="str">
            <v>d1</v>
          </cell>
        </row>
        <row r="521">
          <cell r="Y521" t="str">
            <v>澎湖縣</v>
          </cell>
          <cell r="AB521" t="str">
            <v>d2</v>
          </cell>
        </row>
        <row r="522">
          <cell r="Y522" t="str">
            <v>金門縣</v>
          </cell>
          <cell r="AB522" t="str">
            <v>d3</v>
          </cell>
        </row>
        <row r="523">
          <cell r="Y523" t="str">
            <v>連江縣</v>
          </cell>
          <cell r="AB523" t="str">
            <v>d4</v>
          </cell>
        </row>
        <row r="524">
          <cell r="AB524" t="str">
            <v>d5</v>
          </cell>
        </row>
        <row r="525">
          <cell r="AB525" t="str">
            <v>f</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Index"/>
      <sheetName val="基礎資料與審議資料"/>
      <sheetName val="更新整體開發收益表"/>
      <sheetName val="權利價值分配與共同負擔比例"/>
      <sheetName val="權利價值分析-3家比較"/>
      <sheetName val="共同負擔表(貼報告書用)"/>
      <sheetName val="共同負擔新版"/>
      <sheetName val="容獎概估"/>
      <sheetName val="營造費用計算表"/>
      <sheetName val="營建費用估算表"/>
      <sheetName val="公寓大廈基金與設計費"/>
      <sheetName val="拆除計畫"/>
      <sheetName val="合法拆補"/>
      <sheetName val="舊違章建築戶"/>
      <sheetName val="違佔拆遷"/>
      <sheetName val="違章初估"/>
      <sheetName val="現金流量"/>
      <sheetName val="建築規劃(評估用)"/>
    </sheetNames>
    <sheetDataSet>
      <sheetData sheetId="0"/>
      <sheetData sheetId="1"/>
      <sheetData sheetId="2"/>
      <sheetData sheetId="3"/>
      <sheetData sheetId="4"/>
      <sheetData sheetId="5"/>
      <sheetData sheetId="6"/>
      <sheetData sheetId="7"/>
      <sheetData sheetId="8"/>
      <sheetData sheetId="9"/>
      <sheetData sheetId="10"/>
      <sheetData sheetId="11">
        <row r="6">
          <cell r="C6">
            <v>0</v>
          </cell>
        </row>
      </sheetData>
      <sheetData sheetId="12">
        <row r="2">
          <cell r="C2">
            <v>66125952.197843976</v>
          </cell>
        </row>
        <row r="3">
          <cell r="C3">
            <v>62972571.085650012</v>
          </cell>
        </row>
      </sheetData>
      <sheetData sheetId="13"/>
      <sheetData sheetId="14"/>
      <sheetData sheetId="15"/>
      <sheetData sheetId="16"/>
      <sheetData sheetId="17"/>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投資收益分析新"/>
      <sheetName val="共同負擔 (新版)"/>
      <sheetName val="新容積獎勵"/>
      <sheetName val="建築分析新版"/>
      <sheetName val="共同負擔 (4.5%)"/>
      <sheetName val="共同負擔"/>
      <sheetName val="0-1土地產權清冊"/>
      <sheetName val="0-2合法建物清冊"/>
      <sheetName val="0-3違章建築清冊"/>
      <sheetName val="投資收益分析（方案比較）"/>
      <sheetName val="1基本資料"/>
      <sheetName val="2銷售面積檢討"/>
      <sheetName val="3容積獎勵"/>
      <sheetName val="Sheet1"/>
      <sheetName val="7整體開發收益"/>
      <sheetName val="投資收益分析"/>
      <sheetName val="車位填表"/>
      <sheetName val="合法拆補"/>
      <sheetName val="拆除計畫"/>
      <sheetName val="土地同意比例(9510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地價值明細表(住三)"/>
      <sheetName val="土地價值明細表(住三-1)"/>
      <sheetName val="捌（八）公設共同負擔"/>
      <sheetName val="0303"/>
      <sheetName val="土地分配(住３、住３-1)"/>
      <sheetName val="停車位分配"/>
      <sheetName val="拆遷補償費"/>
      <sheetName val="公聽會用價值總合(舊)"/>
      <sheetName val="公聽會用價值總合"/>
      <sheetName val="違章處理結果"/>
      <sheetName val="9207物價指數"/>
      <sheetName val="合法拆補"/>
      <sheetName val="拆除計畫"/>
      <sheetName val="車位填表"/>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開發內容假設"/>
      <sheetName val="現金流量分析"/>
      <sheetName val="敏感性分析"/>
      <sheetName val="9207物價指數"/>
      <sheetName val="合法拆補"/>
      <sheetName val="拆除計畫"/>
      <sheetName val="違章處理結果"/>
      <sheetName val="更新後產權攤算整理表 (填表)980630"/>
      <sheetName val="ORIX-AMC範本-20051003"/>
      <sheetName val="Datatape"/>
      <sheetName val="代碼檔"/>
      <sheetName val="摘要"/>
      <sheetName val="收金人件"/>
      <sheetName val="價位建議"/>
      <sheetName val="計算檢核"/>
      <sheetName val="安全驗證"/>
      <sheetName val="建 物 鑑 定 表"/>
      <sheetName val="車位填表"/>
      <sheetName val="成本分配表(11A)"/>
      <sheetName val="土地"/>
      <sheetName val="COST1_3"/>
      <sheetName val="連結檔"/>
      <sheetName val="開發內容"/>
      <sheetName val="年0元"/>
      <sheetName val="Datascreen"/>
      <sheetName val="輸入"/>
      <sheetName val="計算資料1"/>
      <sheetName val="開發方案二"/>
      <sheetName val="參數"/>
      <sheetName val="Sheet1"/>
      <sheetName val="報告內容"/>
      <sheetName val="土估表"/>
      <sheetName val="建估表"/>
      <sheetName val="Sheet7"/>
      <sheetName val="現地安置面積與應分配價值計算表"/>
      <sheetName val="9408物價指數"/>
      <sheetName val="估算說明"/>
      <sheetName val="合建分配"/>
      <sheetName val="規劃方案"/>
      <sheetName val="Assumptions"/>
      <sheetName val="獎勵容積"/>
      <sheetName val="銷售假設"/>
      <sheetName val="設計假設"/>
      <sheetName val="資料"/>
      <sheetName val="更新後產權攤算整理表_(填表)980630"/>
      <sheetName val="建_物_鑑_定_表"/>
      <sheetName val="面積計算表H66A"/>
      <sheetName val="Sheet2"/>
      <sheetName val="Sheet3"/>
      <sheetName val="Sheet4"/>
      <sheetName val="品名参照"/>
      <sheetName val="設定"/>
      <sheetName val="List"/>
      <sheetName val="LD"/>
      <sheetName val="#REF!"/>
      <sheetName val="更新後產權攤算整理表_(填表)9806301"/>
      <sheetName val="建_物_鑑_定_表1"/>
      <sheetName val="更新後產權攤算整理表_(填表)9806302"/>
      <sheetName val="建_物_鑑_定_表2"/>
      <sheetName val="更新後產權攤算整理表_(填表)9806303"/>
      <sheetName val="建_物_鑑_定_表3"/>
      <sheetName val="Table"/>
    </sheetNames>
    <sheetDataSet>
      <sheetData sheetId="0" refreshError="1">
        <row r="41">
          <cell r="C41">
            <v>0.7</v>
          </cell>
        </row>
        <row r="42">
          <cell r="E42">
            <v>5.0000000000000001E-3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填表說明"/>
      <sheetName val="銀行資料"/>
      <sheetName val="基本資料"/>
      <sheetName val="圖表說明"/>
      <sheetName val="價格決定(D,L)"/>
      <sheetName val="價格決定(F)"/>
      <sheetName val="封面 "/>
      <sheetName val="摘要表"/>
      <sheetName val="不動產價格分戶計算表"/>
      <sheetName val="比較法"/>
      <sheetName val="成本法"/>
      <sheetName val="收益法"/>
      <sheetName val="土地開發分析法"/>
      <sheetName val="他項權利設定表"/>
      <sheetName val="土地勘估表"/>
      <sheetName val="建物勘估表"/>
      <sheetName val="照片"/>
      <sheetName val="位置圖"/>
      <sheetName val="Cadastral and Zoning Map地籍圖都計圖"/>
      <sheetName val="房屋稅、保險費計算參考表"/>
      <sheetName val="摘要"/>
      <sheetName val="ORIX-AMC範本-20051003"/>
      <sheetName val="違章處理結果"/>
      <sheetName val="合法拆補"/>
      <sheetName val="拆除計畫"/>
      <sheetName val="9207物價指數"/>
      <sheetName val="Expense"/>
      <sheetName val="Summary"/>
      <sheetName val="輸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規劃量體"/>
      <sheetName val="簡易投報表"/>
      <sheetName val="容移與工程(表A與表B)"/>
      <sheetName val="專案雜項費用(表C)"/>
      <sheetName val="拆補及安置費(表C-5)"/>
      <sheetName val="土地稅費(表D與表E)"/>
      <sheetName val="造價表"/>
      <sheetName val="設定說明"/>
      <sheetName val="進度及設定"/>
      <sheetName val="資金運用表"/>
      <sheetName val="土建清冊"/>
    </sheetNames>
    <sheetDataSet>
      <sheetData sheetId="0"/>
      <sheetData sheetId="1">
        <row r="24">
          <cell r="C24">
            <v>2970.263267882086</v>
          </cell>
        </row>
      </sheetData>
      <sheetData sheetId="2"/>
      <sheetData sheetId="3"/>
      <sheetData sheetId="4"/>
      <sheetData sheetId="5"/>
      <sheetData sheetId="6">
        <row r="2">
          <cell r="A2" t="str">
            <v>加強磚造及輕型鋼架構造</v>
          </cell>
        </row>
        <row r="3">
          <cell r="A3" t="str">
            <v>RC 1-5層建築物</v>
          </cell>
        </row>
        <row r="4">
          <cell r="A4" t="str">
            <v>RC 6-8層建築物</v>
          </cell>
        </row>
        <row r="5">
          <cell r="A5" t="str">
            <v>RC 9-12層建築物</v>
          </cell>
        </row>
        <row r="6">
          <cell r="A6" t="str">
            <v>RC 13-15層建築物</v>
          </cell>
        </row>
        <row r="7">
          <cell r="A7" t="str">
            <v>RC 16-20層建築物</v>
          </cell>
        </row>
        <row r="8">
          <cell r="A8" t="str">
            <v>RC 21-25層建築物</v>
          </cell>
        </row>
        <row r="9">
          <cell r="A9" t="str">
            <v>RC 26-30層建築物</v>
          </cell>
        </row>
        <row r="10">
          <cell r="A10" t="str">
            <v>RC 31層以上建築物</v>
          </cell>
        </row>
        <row r="11">
          <cell r="A11" t="str">
            <v>SRC 10層以下建築物</v>
          </cell>
        </row>
        <row r="12">
          <cell r="A12" t="str">
            <v>SRC 11-15層建築物</v>
          </cell>
        </row>
        <row r="13">
          <cell r="A13" t="str">
            <v>SRC 16-20層建築物</v>
          </cell>
        </row>
        <row r="14">
          <cell r="A14" t="str">
            <v>SRC 21-25層建築物</v>
          </cell>
        </row>
        <row r="15">
          <cell r="A15" t="str">
            <v>SRC 26-30層建築物</v>
          </cell>
        </row>
        <row r="16">
          <cell r="A16" t="str">
            <v>SRC 31-35層建築物</v>
          </cell>
        </row>
        <row r="17">
          <cell r="A17" t="str">
            <v>SRC 36層以上建築物</v>
          </cell>
        </row>
        <row r="18">
          <cell r="A18" t="str">
            <v>SC 10層以下建築物</v>
          </cell>
        </row>
      </sheetData>
      <sheetData sheetId="7"/>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規劃量體"/>
      <sheetName val="簡易投報表"/>
      <sheetName val="容移與工程(表A與表B)"/>
      <sheetName val="專案雜項費用(表C)"/>
      <sheetName val="土地稅費(表D與表E)"/>
      <sheetName val="造價表"/>
      <sheetName val="設定說明"/>
      <sheetName val="進度及設定"/>
      <sheetName val="資金運用表"/>
    </sheetNames>
    <sheetDataSet>
      <sheetData sheetId="0"/>
      <sheetData sheetId="1">
        <row r="10">
          <cell r="F10">
            <v>22</v>
          </cell>
        </row>
        <row r="24">
          <cell r="C24">
            <v>1010.1858129321133</v>
          </cell>
        </row>
      </sheetData>
      <sheetData sheetId="2" refreshError="1"/>
      <sheetData sheetId="3" refreshError="1"/>
      <sheetData sheetId="4" refreshError="1"/>
      <sheetData sheetId="5">
        <row r="2">
          <cell r="A2" t="str">
            <v>加強磚造及輕型鋼架構造</v>
          </cell>
        </row>
        <row r="3">
          <cell r="A3" t="str">
            <v>RC 1-5層建築物</v>
          </cell>
        </row>
        <row r="4">
          <cell r="A4" t="str">
            <v>RC 6-8層建築物</v>
          </cell>
        </row>
        <row r="5">
          <cell r="A5" t="str">
            <v>RC 9-12層建築物</v>
          </cell>
        </row>
        <row r="6">
          <cell r="A6" t="str">
            <v>RC 13-15層建築物</v>
          </cell>
        </row>
        <row r="7">
          <cell r="A7" t="str">
            <v>RC 16-20層建築物</v>
          </cell>
        </row>
        <row r="8">
          <cell r="A8" t="str">
            <v>RC21-25層以上建築物</v>
          </cell>
        </row>
        <row r="9">
          <cell r="A9" t="str">
            <v>SRC 10層以下建築物</v>
          </cell>
        </row>
        <row r="10">
          <cell r="A10" t="str">
            <v>SRC 11-15層建築物</v>
          </cell>
        </row>
        <row r="11">
          <cell r="A11" t="str">
            <v>SRC 16-20層建築物</v>
          </cell>
        </row>
        <row r="12">
          <cell r="A12" t="str">
            <v>SRC 21-30層建築物</v>
          </cell>
        </row>
        <row r="13">
          <cell r="A13" t="str">
            <v>SRC 31層以上建築物</v>
          </cell>
        </row>
        <row r="14">
          <cell r="A14" t="str">
            <v>SC 10層以下建築物</v>
          </cell>
        </row>
        <row r="15">
          <cell r="A15" t="str">
            <v>SC 11-15層建築物</v>
          </cell>
        </row>
        <row r="16">
          <cell r="A16" t="str">
            <v>SC 16-20層建築物</v>
          </cell>
        </row>
        <row r="17">
          <cell r="A17" t="str">
            <v>SC 21-30層建築物</v>
          </cell>
        </row>
        <row r="18">
          <cell r="A18" t="str">
            <v>SC 31層以上建築物</v>
          </cell>
        </row>
      </sheetData>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頁"/>
      <sheetName val="基本資料彙總表"/>
      <sheetName val="權利變換選配結果彙總"/>
      <sheetName val="權利變換選配結果-住宅"/>
      <sheetName val="權利變換選配結果-車位"/>
      <sheetName val="權利變換-合併分配組"/>
      <sheetName val="土地"/>
      <sheetName val="土地(歸人)"/>
      <sheetName val="更新前後權利價值比例(歸人)"/>
      <sheetName val="土地(歸人)-整理中(驚爆)"/>
      <sheetName val="更新前後權利價值比例(歸人)-整理中(驚爆)"/>
      <sheetName val="Sheet5"/>
      <sheetName val="容積獎勵"/>
      <sheetName val="共同負擔"/>
      <sheetName val="共同負擔(現地安置戶)"/>
      <sheetName val="參數"/>
      <sheetName val="現地安置面積與應分配價值計算表"/>
      <sheetName val="道路公園用地公共設施"/>
      <sheetName val="道路拆遷補償"/>
      <sheetName val="拆除計畫"/>
      <sheetName val="現測面積表"/>
      <sheetName val="面積表"/>
      <sheetName val="公設面積"/>
      <sheetName val="更新前估價比較"/>
      <sheetName val="更新後價值比較"/>
      <sheetName val="更新後效益評估"/>
      <sheetName val="單價表"/>
      <sheetName val="單價加成"/>
      <sheetName val="人數統計"/>
      <sheetName val="更新後價值排序"/>
      <sheetName val="彙總"/>
      <sheetName val="Sheet2"/>
      <sheetName val="Sheet1"/>
      <sheetName val="申請分配資料整理(1)"/>
      <sheetName val="申請分配資料整理(2)"/>
      <sheetName val="申請分配資料(住宅單元)"/>
      <sheetName val="申請分配資料(車位)"/>
      <sheetName val="獎勵容積"/>
      <sheetName val="ORIX-AMC範本-200510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頁"/>
      <sheetName val="基本資料彙總表"/>
      <sheetName val="土地"/>
      <sheetName val="土地(歸人)"/>
      <sheetName val="Sheet1"/>
      <sheetName val="更新前後權利價值比例(歸人)"/>
      <sheetName val="容積獎勵"/>
      <sheetName val="共同負擔"/>
      <sheetName val="共同負擔(現地安置戶)"/>
      <sheetName val="參數"/>
      <sheetName val="現地安置面積與應分配價值計算表"/>
      <sheetName val="道路公園用地公共設施"/>
      <sheetName val="道路拆遷補償"/>
      <sheetName val="拆除計畫"/>
      <sheetName val="現測面積表"/>
      <sheetName val="面積表"/>
      <sheetName val="公設面積"/>
      <sheetName val="更新前估價比較"/>
      <sheetName val="更新後價值比較"/>
      <sheetName val="更新後效益評估"/>
      <sheetName val="單價表"/>
      <sheetName val="單價加成"/>
      <sheetName val="人數統計"/>
      <sheetName val="更新後價值排序"/>
      <sheetName val="申請分配資料整理(1)"/>
      <sheetName val="申請分配資料整理(2)"/>
      <sheetName val="申請分配資料(住宅單元)"/>
      <sheetName val="申請分配資料(車位)"/>
      <sheetName val="彙總"/>
      <sheetName val="Sheet2"/>
      <sheetName val="ORIX-AMC範本-20051003"/>
      <sheetName val="摘要"/>
      <sheetName val="獎勵容積"/>
      <sheetName val="違章處理結果"/>
      <sheetName val="合法拆補"/>
      <sheetName val="List"/>
      <sheetName val="面積計算表H66A"/>
      <sheetName val="代碼檔"/>
      <sheetName val="開發內容假設"/>
      <sheetName val="Summary"/>
      <sheetName val="9207物價指數"/>
      <sheetName val="LD_全-2.25"/>
      <sheetName val="計算檢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說明"/>
      <sheetName val="電子檔"/>
      <sheetName val="覆核表"/>
      <sheetName val="建估表"/>
      <sheetName val="土估表"/>
      <sheetName val="9401物價指數"/>
      <sheetName val="轉alpha"/>
      <sheetName val="土地"/>
      <sheetName val="現地安置面積與應分配價值計算表"/>
      <sheetName val="獎勵容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預算表"/>
      <sheetName val="專業教室追加"/>
      <sheetName val="景觀工程追加"/>
      <sheetName val="工程預算表 "/>
      <sheetName val="單價分析表"/>
      <sheetName val="數量計算表"/>
      <sheetName val="植栽索引 "/>
      <sheetName val="預算標單 "/>
      <sheetName val="標單價分析"/>
      <sheetName val="封面"/>
      <sheetName val="土地"/>
      <sheetName val="現地安置面積與應分配價值計算表"/>
      <sheetName val="外15薪基84"/>
      <sheetName val="LD_全-2.25"/>
      <sheetName val="獎勵容積"/>
      <sheetName val="工程預算表_"/>
      <sheetName val="植栽索引_"/>
      <sheetName val="預算標單_"/>
      <sheetName val="門窗細目"/>
      <sheetName val="機電單分"/>
      <sheetName val="PROJECT BRIEF"/>
      <sheetName val="裝修表"/>
      <sheetName val="總表"/>
      <sheetName val="工程預算表_1"/>
      <sheetName val="植栽索引_1"/>
      <sheetName val="預算標單_1"/>
      <sheetName val="基本單價"/>
      <sheetName val="PROJECT_BRIEF"/>
      <sheetName val="營建單價表(104版)"/>
      <sheetName val="選屋結果 (當天版)"/>
      <sheetName val="埔墘建築方案(2店鋪)-調高車公比例"/>
      <sheetName val="更新後房屋價值(當天版)"/>
      <sheetName val="更新後車位價值(當天版)"/>
      <sheetName val="LD_全-2_25"/>
      <sheetName val="工程預算表_2"/>
      <sheetName val="植栽索引_2"/>
      <sheetName val="預算標單_2"/>
      <sheetName val="LD_全-2_251"/>
      <sheetName val="工程預算表_3"/>
      <sheetName val="植栽索引_3"/>
      <sheetName val="預算標單_3"/>
      <sheetName val="LD_全-2_252"/>
      <sheetName val="工程預算表_4"/>
      <sheetName val="植栽索引_4"/>
      <sheetName val="預算標單_4"/>
      <sheetName val="LD_全-2_253"/>
      <sheetName val="選屋結果_(當天版)"/>
      <sheetName val="PROJECT_BRIEF1"/>
      <sheetName val="TA214"/>
    </sheetNames>
    <sheetDataSet>
      <sheetData sheetId="0" refreshError="1">
        <row r="1">
          <cell r="A1" t="str">
            <v>陸軍總司令部工兵署</v>
          </cell>
        </row>
        <row r="2">
          <cell r="A2" t="str">
            <v>工 程 預 算 表</v>
          </cell>
        </row>
        <row r="3">
          <cell r="A3" t="str">
            <v>業主名稱:陸軍總司令部工兵署</v>
          </cell>
          <cell r="B3">
            <v>0</v>
          </cell>
          <cell r="C3">
            <v>0</v>
          </cell>
          <cell r="D3" t="str">
            <v xml:space="preserve"> </v>
          </cell>
          <cell r="E3">
            <v>0</v>
          </cell>
          <cell r="F3" t="str">
            <v xml:space="preserve"> </v>
          </cell>
        </row>
        <row r="4">
          <cell r="A4" t="str">
            <v>工程名稱:陸軍士官學校第一期校區景觀﹑綠化植栽工程</v>
          </cell>
          <cell r="B4">
            <v>0</v>
          </cell>
          <cell r="C4">
            <v>0</v>
          </cell>
          <cell r="D4">
            <v>0</v>
          </cell>
          <cell r="E4">
            <v>0</v>
          </cell>
          <cell r="F4" t="str">
            <v xml:space="preserve"> </v>
          </cell>
          <cell r="G4" t="str">
            <v xml:space="preserve"> </v>
          </cell>
        </row>
        <row r="5">
          <cell r="A5" t="str">
            <v>工程地點:桃園縣中壢市中山東路</v>
          </cell>
          <cell r="B5">
            <v>0</v>
          </cell>
          <cell r="C5">
            <v>0</v>
          </cell>
          <cell r="D5">
            <v>0</v>
          </cell>
          <cell r="E5">
            <v>0</v>
          </cell>
          <cell r="F5" t="str">
            <v xml:space="preserve"> </v>
          </cell>
          <cell r="G5" t="str">
            <v xml:space="preserve"> </v>
          </cell>
        </row>
        <row r="7">
          <cell r="A7" t="str">
            <v>項目</v>
          </cell>
          <cell r="B7" t="str">
            <v>名　　　　稱</v>
          </cell>
          <cell r="C7" t="str">
            <v>單位</v>
          </cell>
          <cell r="D7" t="str">
            <v>數  量</v>
          </cell>
          <cell r="E7" t="str">
            <v>單　　價</v>
          </cell>
          <cell r="F7" t="str">
            <v xml:space="preserve"> 複　　價</v>
          </cell>
          <cell r="G7" t="str">
            <v>備　　註</v>
          </cell>
          <cell r="H7">
            <v>0</v>
          </cell>
          <cell r="I7" t="str">
            <v>單　　價</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預算表 (2)"/>
      <sheetName val="工程預算表"/>
      <sheetName val="單價分析表"/>
      <sheetName val="室內裝修(1)"/>
      <sheetName val="室內裝修 (2)"/>
      <sheetName val="數量計算表"/>
      <sheetName val="粉刷表"/>
      <sheetName val="封面"/>
      <sheetName val="電話"/>
      <sheetName val="標單"/>
      <sheetName val="單價分析表 (2)"/>
      <sheetName val="外牆數量"/>
      <sheetName val="土地"/>
      <sheetName val="外15薪基84"/>
      <sheetName val="LD_全-2.25"/>
      <sheetName val="違章處理結果"/>
      <sheetName val="現地安置面積與應分配價值計算表"/>
      <sheetName val="工程預算表_(2)"/>
      <sheetName val="室內裝修_(2)"/>
      <sheetName val="單價分析表_(2)"/>
      <sheetName val="spare parts2"/>
      <sheetName val="漢偉2"/>
      <sheetName val="成本"/>
      <sheetName val="單價2"/>
      <sheetName val="工程預算表_(2)1"/>
      <sheetName val="室內裝修_(2)1"/>
      <sheetName val="單價分析表_(2)1"/>
      <sheetName val="工程預算表_(2)2"/>
      <sheetName val="室內裝修_(2)2"/>
      <sheetName val="單價分析表_(2)2"/>
      <sheetName val="spare_parts2"/>
      <sheetName val="Address"/>
      <sheetName val="比較法-案例查證表"/>
      <sheetName val="收益法-案例查證表"/>
      <sheetName val="LD_全-2_25"/>
      <sheetName val="名稱"/>
      <sheetName val="建物"/>
      <sheetName val="LD_全-2_251"/>
      <sheetName val="工程預算表_(2)3"/>
      <sheetName val="室內裝修_(2)3"/>
      <sheetName val="單價分析表_(2)3"/>
      <sheetName val="LD_全-2_252"/>
      <sheetName val="工程預算表_(2)4"/>
      <sheetName val="室內裝修_(2)4"/>
      <sheetName val="單價分析表_(2)4"/>
      <sheetName val="LD_全-2_253"/>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sheetData sheetId="38"/>
      <sheetData sheetId="39"/>
      <sheetData sheetId="40"/>
      <sheetData sheetId="41"/>
      <sheetData sheetId="42"/>
      <sheetData sheetId="43"/>
      <sheetData sheetId="44"/>
      <sheetData sheetId="45"/>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面板"/>
      <sheetName val="輸入"/>
      <sheetName val="首頁"/>
      <sheetName val="次頁"/>
      <sheetName val="摘要"/>
      <sheetName val="土地"/>
      <sheetName val="建物"/>
      <sheetName val="總表"/>
      <sheetName val="個徵表"/>
      <sheetName val="個徵2"/>
      <sheetName val="工作底稿"/>
      <sheetName val="試算"/>
      <sheetName val="北市容積及造價 "/>
      <sheetName val="北縣容積"/>
      <sheetName val="SFI"/>
      <sheetName val="土地融資"/>
      <sheetName val="標準分戶"/>
      <sheetName val="銷售預估"/>
      <sheetName val="面積區"/>
      <sheetName val="分戶(車位視為共同)"/>
      <sheetName val="分戶(無車位)"/>
      <sheetName val="土地還原1"/>
      <sheetName val="土地還原2"/>
      <sheetName val="土地還原3"/>
      <sheetName val="開發內容"/>
      <sheetName val="代碼檔"/>
      <sheetName val="LD_全-2.25"/>
      <sheetName val="9207物價指數"/>
      <sheetName val="工程預算表"/>
      <sheetName val="面積計算表H66A"/>
      <sheetName val="外15薪基84"/>
      <sheetName val="現地安置面積與應分配價值計算表"/>
      <sheetName val="9309物價指數"/>
      <sheetName val="Limited"/>
      <sheetName val="Full"/>
      <sheetName val="天鵬"/>
      <sheetName val="各戶價值分析表"/>
      <sheetName val="Price"/>
      <sheetName val="List"/>
      <sheetName val="合法拆補"/>
      <sheetName val="拆除計畫"/>
      <sheetName val="開發內容假設"/>
      <sheetName val="法規資料表"/>
      <sheetName val="ORIX-AMC範本-20051003"/>
      <sheetName val="物價指數(一)"/>
      <sheetName val="物價指數(二)"/>
      <sheetName val="物價指數(一)(重整)"/>
      <sheetName val="9611物價指數"/>
      <sheetName val="塗銷"/>
      <sheetName val="Address"/>
      <sheetName val="台灣鄉鎮市區清單"/>
      <sheetName val="違章處理結果"/>
      <sheetName val="合建分配"/>
      <sheetName val="規劃方案"/>
      <sheetName val="COST1_3"/>
      <sheetName val="Sheet1"/>
      <sheetName val="基本單價"/>
      <sheetName val="Datatape"/>
      <sheetName val="Controls"/>
      <sheetName val="計算檢核"/>
      <sheetName val="車位填表"/>
      <sheetName val="名稱"/>
      <sheetName val="Datascreen"/>
      <sheetName val="土地同意比例(951004)"/>
      <sheetName val="建 物 鑑 定 表"/>
      <sheetName val="._ls_._ls_._ls_._ls_._ls_._ls_."/>
      <sheetName val="menu"/>
      <sheetName val="品名参照"/>
      <sheetName val="年0元"/>
      <sheetName val="データ"/>
      <sheetName val="Collateral"/>
      <sheetName val="Index"/>
      <sheetName val="Summary"/>
      <sheetName val="收金人件"/>
      <sheetName val="台灣縣市"/>
      <sheetName val="FIN"/>
      <sheetName val="Cashflow"/>
      <sheetName val="LD"/>
      <sheetName val="地震及火災險參考資料"/>
      <sheetName val="塗銷表"/>
      <sheetName val="北市容積及造價_"/>
      <sheetName val="LD_全-2_25"/>
      <sheetName val="#REF!"/>
      <sheetName val="Inputs"/>
      <sheetName val="Sheet2"/>
      <sheetName val="Sheet3"/>
      <sheetName val="Sheet4"/>
      <sheetName val="明細"/>
      <sheetName val="鋼筋號數表"/>
      <sheetName val="比較法-2"/>
      <sheetName val="序言_荷銀"/>
      <sheetName val="建_物_鑑_定_表"/>
      <sheetName val="__ls___ls___ls___ls___ls___ls__"/>
      <sheetName val="北市容積及造價_1"/>
      <sheetName val="LD_全-2_251"/>
      <sheetName val="建_物_鑑_定_表1"/>
      <sheetName val="__ls___ls___ls___ls___ls___ls_1"/>
      <sheetName val="工料單價表"/>
      <sheetName val="北市容積及造價_2"/>
      <sheetName val="LD_全-2_252"/>
      <sheetName val="建_物_鑑_定_表2"/>
      <sheetName val="__ls___ls___ls___ls___ls___ls_2"/>
      <sheetName val="北市容積及造價_3"/>
      <sheetName val="LD_全-2_253"/>
      <sheetName val="建_物_鑑_定_表3"/>
      <sheetName val="__ls___ls___ls___ls___ls___ls_3"/>
      <sheetName val="北市容積及造價_4"/>
      <sheetName val="LD_全-2_254"/>
      <sheetName val="建_物_鑑_定_表4"/>
      <sheetName val="__ls___ls___ls___ls___ls___ls_4"/>
    </sheetNames>
    <sheetDataSet>
      <sheetData sheetId="0" refreshError="1"/>
      <sheetData sheetId="1" refreshError="1"/>
      <sheetData sheetId="2"/>
      <sheetData sheetId="3" refreshError="1"/>
      <sheetData sheetId="4" refreshError="1"/>
      <sheetData sheetId="5" refreshError="1">
        <row r="6">
          <cell r="H6">
            <v>8412371.8444920015</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Set>
  </externalBook>
</externalLink>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2163-1107-407F-BA86-95CC4A0981E6}">
  <dimension ref="A1:H16"/>
  <sheetViews>
    <sheetView tabSelected="1" zoomScale="115" zoomScaleNormal="115" workbookViewId="0">
      <selection activeCell="H20" sqref="H20"/>
    </sheetView>
  </sheetViews>
  <sheetFormatPr defaultRowHeight="16.5" x14ac:dyDescent="0.25"/>
  <cols>
    <col min="1" max="1" width="13.875" bestFit="1" customWidth="1"/>
    <col min="2" max="2" width="22.25" bestFit="1" customWidth="1"/>
    <col min="3" max="4" width="12.625" bestFit="1" customWidth="1"/>
    <col min="5" max="5" width="9.5" bestFit="1" customWidth="1"/>
    <col min="6" max="6" width="15.25" customWidth="1"/>
    <col min="7" max="7" width="11.625" bestFit="1" customWidth="1"/>
    <col min="8" max="8" width="23.125" customWidth="1"/>
  </cols>
  <sheetData>
    <row r="1" spans="1:8" x14ac:dyDescent="0.25">
      <c r="A1" s="150" t="s">
        <v>251</v>
      </c>
      <c r="B1" s="150"/>
    </row>
    <row r="2" spans="1:8" x14ac:dyDescent="0.25">
      <c r="A2" s="117" t="s">
        <v>247</v>
      </c>
      <c r="B2" s="145">
        <v>1029</v>
      </c>
    </row>
    <row r="3" spans="1:8" x14ac:dyDescent="0.25">
      <c r="A3" s="144" t="s">
        <v>252</v>
      </c>
      <c r="B3" s="145">
        <v>2000</v>
      </c>
    </row>
    <row r="4" spans="1:8" x14ac:dyDescent="0.25">
      <c r="A4" s="117" t="s">
        <v>248</v>
      </c>
      <c r="B4" s="146" t="s">
        <v>249</v>
      </c>
    </row>
    <row r="5" spans="1:8" x14ac:dyDescent="0.25">
      <c r="A5" s="117" t="s">
        <v>250</v>
      </c>
      <c r="B5" s="147">
        <v>2.25</v>
      </c>
    </row>
    <row r="6" spans="1:8" x14ac:dyDescent="0.25">
      <c r="A6" s="117" t="s">
        <v>210</v>
      </c>
      <c r="B6" s="142">
        <f>B2*B5</f>
        <v>2315.25</v>
      </c>
    </row>
    <row r="8" spans="1:8" x14ac:dyDescent="0.25">
      <c r="A8" s="150" t="s">
        <v>246</v>
      </c>
      <c r="B8" s="150"/>
      <c r="C8" s="150"/>
      <c r="D8" s="150"/>
      <c r="E8" s="150"/>
      <c r="F8" s="150"/>
      <c r="G8" s="150"/>
      <c r="H8" s="150"/>
    </row>
    <row r="9" spans="1:8" x14ac:dyDescent="0.25">
      <c r="A9" s="139" t="s">
        <v>207</v>
      </c>
      <c r="B9" s="139" t="s">
        <v>208</v>
      </c>
      <c r="C9" s="139" t="s">
        <v>209</v>
      </c>
      <c r="D9" s="139" t="s">
        <v>210</v>
      </c>
      <c r="E9" s="139" t="s">
        <v>211</v>
      </c>
      <c r="F9" s="139" t="s">
        <v>212</v>
      </c>
      <c r="G9" s="139" t="s">
        <v>213</v>
      </c>
      <c r="H9" s="139" t="s">
        <v>243</v>
      </c>
    </row>
    <row r="10" spans="1:8" x14ac:dyDescent="0.25">
      <c r="A10" s="151" t="s">
        <v>239</v>
      </c>
      <c r="B10" s="121" t="s">
        <v>214</v>
      </c>
      <c r="C10" s="142">
        <f>B3</f>
        <v>2000</v>
      </c>
      <c r="D10" s="142">
        <f>B6</f>
        <v>2315.25</v>
      </c>
      <c r="E10" s="140">
        <v>1.2</v>
      </c>
      <c r="F10" s="143">
        <f>C10*E10</f>
        <v>2400</v>
      </c>
      <c r="G10" s="143">
        <f>F10-C10</f>
        <v>400</v>
      </c>
      <c r="H10" s="151" t="s">
        <v>244</v>
      </c>
    </row>
    <row r="11" spans="1:8" x14ac:dyDescent="0.25">
      <c r="A11" s="151"/>
      <c r="B11" s="121" t="s">
        <v>215</v>
      </c>
      <c r="C11" s="143">
        <f>B3</f>
        <v>2000</v>
      </c>
      <c r="D11" s="143">
        <f>B6</f>
        <v>2315.25</v>
      </c>
      <c r="E11" s="140">
        <v>0.3</v>
      </c>
      <c r="F11" s="143">
        <f>C11+D11*E11</f>
        <v>2694.5749999999998</v>
      </c>
      <c r="G11" s="143">
        <f>F11-D11</f>
        <v>379.32499999999982</v>
      </c>
      <c r="H11" s="151"/>
    </row>
    <row r="12" spans="1:8" x14ac:dyDescent="0.25">
      <c r="A12" s="151"/>
      <c r="B12" s="121" t="s">
        <v>238</v>
      </c>
      <c r="C12" s="143">
        <f>B3</f>
        <v>2000</v>
      </c>
      <c r="D12" s="143">
        <f>B6</f>
        <v>2315.25</v>
      </c>
      <c r="E12" s="140">
        <v>0.5</v>
      </c>
      <c r="F12" s="143">
        <f>D12+D12*E12</f>
        <v>3472.875</v>
      </c>
      <c r="G12" s="143">
        <f>F12-D12</f>
        <v>1157.625</v>
      </c>
      <c r="H12" s="151"/>
    </row>
    <row r="13" spans="1:8" x14ac:dyDescent="0.25">
      <c r="A13" s="151" t="s">
        <v>240</v>
      </c>
      <c r="B13" s="121" t="s">
        <v>214</v>
      </c>
      <c r="C13" s="143">
        <v>0</v>
      </c>
      <c r="D13" s="143">
        <v>0</v>
      </c>
      <c r="E13" s="140">
        <v>1.2</v>
      </c>
      <c r="F13" s="143">
        <f>C13*E13</f>
        <v>0</v>
      </c>
      <c r="G13" s="143">
        <f>F13-C13</f>
        <v>0</v>
      </c>
      <c r="H13" s="151" t="s">
        <v>245</v>
      </c>
    </row>
    <row r="14" spans="1:8" x14ac:dyDescent="0.25">
      <c r="A14" s="151"/>
      <c r="B14" s="121" t="s">
        <v>215</v>
      </c>
      <c r="C14" s="143">
        <v>0</v>
      </c>
      <c r="D14" s="143">
        <v>0</v>
      </c>
      <c r="E14" s="140">
        <v>0.3</v>
      </c>
      <c r="F14" s="143">
        <f>C14+D14*E14</f>
        <v>0</v>
      </c>
      <c r="G14" s="143">
        <f>F14-D14</f>
        <v>0</v>
      </c>
      <c r="H14" s="151"/>
    </row>
    <row r="15" spans="1:8" x14ac:dyDescent="0.25">
      <c r="A15" s="151"/>
      <c r="B15" s="121" t="s">
        <v>238</v>
      </c>
      <c r="C15" s="143">
        <v>0</v>
      </c>
      <c r="D15" s="143">
        <v>0</v>
      </c>
      <c r="E15" s="140">
        <v>0.5</v>
      </c>
      <c r="F15" s="143">
        <f>D15+D15*E15</f>
        <v>0</v>
      </c>
      <c r="G15" s="143">
        <f>F15-D15</f>
        <v>0</v>
      </c>
      <c r="H15" s="151"/>
    </row>
    <row r="16" spans="1:8" x14ac:dyDescent="0.25">
      <c r="A16" s="151" t="s">
        <v>241</v>
      </c>
      <c r="B16" s="151"/>
      <c r="C16" s="143">
        <f>MAX(C10:C12)+MAX(C13:C15)</f>
        <v>2000</v>
      </c>
      <c r="D16" s="143">
        <f>MAX(D10:D12)+MAX(D13:D15)</f>
        <v>2315.25</v>
      </c>
      <c r="E16" s="141" t="s">
        <v>242</v>
      </c>
      <c r="F16" s="143">
        <f>MAX(F10:F12)+MAX(F13:F15)</f>
        <v>3472.875</v>
      </c>
      <c r="G16" s="143">
        <f>MAX(G10:G12)+MAX(G13:G15)</f>
        <v>1157.625</v>
      </c>
      <c r="H16" s="138"/>
    </row>
  </sheetData>
  <mergeCells count="7">
    <mergeCell ref="A1:B1"/>
    <mergeCell ref="A10:A12"/>
    <mergeCell ref="A13:A15"/>
    <mergeCell ref="A16:B16"/>
    <mergeCell ref="H10:H12"/>
    <mergeCell ref="A8:H8"/>
    <mergeCell ref="H13:H15"/>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18371-2660-4154-B725-F02F22A66E67}">
  <dimension ref="A1:I40"/>
  <sheetViews>
    <sheetView topLeftCell="A34" zoomScale="85" zoomScaleNormal="85" workbookViewId="0">
      <selection activeCell="G34" sqref="G34"/>
    </sheetView>
  </sheetViews>
  <sheetFormatPr defaultRowHeight="15.75" x14ac:dyDescent="0.25"/>
  <cols>
    <col min="1" max="1" width="4.75" style="114" customWidth="1"/>
    <col min="2" max="3" width="9" style="114"/>
    <col min="4" max="4" width="71.375" style="114" customWidth="1"/>
    <col min="5" max="5" width="13.875" style="114" bestFit="1" customWidth="1"/>
    <col min="6" max="6" width="13" style="114" bestFit="1" customWidth="1"/>
    <col min="7" max="7" width="72.25" style="114" customWidth="1"/>
    <col min="8" max="8" width="28" style="114" customWidth="1"/>
    <col min="9" max="9" width="14.5" style="114" bestFit="1" customWidth="1"/>
    <col min="10" max="16384" width="9" style="114"/>
  </cols>
  <sheetData>
    <row r="1" spans="1:9" x14ac:dyDescent="0.25">
      <c r="E1" s="114" t="s">
        <v>115</v>
      </c>
      <c r="F1" s="115">
        <f>可申請獎勵上限!B2</f>
        <v>1029</v>
      </c>
    </row>
    <row r="2" spans="1:9" x14ac:dyDescent="0.25">
      <c r="E2" s="114" t="s">
        <v>116</v>
      </c>
      <c r="F2" s="116">
        <f>可申請獎勵上限!B5</f>
        <v>2.25</v>
      </c>
      <c r="G2" s="114" t="s">
        <v>203</v>
      </c>
    </row>
    <row r="3" spans="1:9" x14ac:dyDescent="0.25">
      <c r="E3" s="114" t="s">
        <v>139</v>
      </c>
      <c r="F3" s="115">
        <f>可申請獎勵上限!B6</f>
        <v>2315.25</v>
      </c>
    </row>
    <row r="4" spans="1:9" ht="16.5" x14ac:dyDescent="0.25">
      <c r="A4" s="150" t="s">
        <v>111</v>
      </c>
      <c r="B4" s="179" t="s">
        <v>112</v>
      </c>
      <c r="C4" s="180"/>
      <c r="D4" s="150" t="s">
        <v>113</v>
      </c>
      <c r="E4" s="150" t="s">
        <v>135</v>
      </c>
      <c r="F4" s="150"/>
      <c r="G4" s="150" t="s">
        <v>114</v>
      </c>
      <c r="H4" s="172" t="s">
        <v>236</v>
      </c>
      <c r="I4" s="152"/>
    </row>
    <row r="5" spans="1:9" ht="16.5" x14ac:dyDescent="0.25">
      <c r="A5" s="150"/>
      <c r="B5" s="181"/>
      <c r="C5" s="182"/>
      <c r="D5" s="150"/>
      <c r="E5" s="125" t="s">
        <v>117</v>
      </c>
      <c r="F5" s="125" t="s">
        <v>118</v>
      </c>
      <c r="G5" s="150"/>
      <c r="H5" s="150"/>
      <c r="I5" s="152"/>
    </row>
    <row r="6" spans="1:9" ht="48.75" customHeight="1" x14ac:dyDescent="0.25">
      <c r="A6" s="173" t="s">
        <v>119</v>
      </c>
      <c r="B6" s="155" t="s">
        <v>120</v>
      </c>
      <c r="C6" s="157"/>
      <c r="D6" s="118" t="s">
        <v>145</v>
      </c>
      <c r="E6" s="119">
        <v>0</v>
      </c>
      <c r="F6" s="120">
        <f t="shared" ref="F6:F18" si="0">$F$3*E6</f>
        <v>0</v>
      </c>
      <c r="G6" s="118" t="s">
        <v>227</v>
      </c>
      <c r="H6" s="123" t="s">
        <v>150</v>
      </c>
    </row>
    <row r="7" spans="1:9" ht="78.75" x14ac:dyDescent="0.25">
      <c r="A7" s="174"/>
      <c r="B7" s="155" t="s">
        <v>121</v>
      </c>
      <c r="C7" s="157"/>
      <c r="D7" s="118" t="s">
        <v>141</v>
      </c>
      <c r="E7" s="119">
        <v>0.08</v>
      </c>
      <c r="F7" s="120">
        <f t="shared" si="0"/>
        <v>185.22</v>
      </c>
      <c r="G7" s="118" t="s">
        <v>228</v>
      </c>
      <c r="H7" s="136" t="s">
        <v>216</v>
      </c>
    </row>
    <row r="8" spans="1:9" ht="31.5" x14ac:dyDescent="0.25">
      <c r="A8" s="174"/>
      <c r="B8" s="155" t="s">
        <v>122</v>
      </c>
      <c r="C8" s="157"/>
      <c r="D8" s="118" t="s">
        <v>133</v>
      </c>
      <c r="E8" s="119">
        <v>0</v>
      </c>
      <c r="F8" s="120">
        <f t="shared" si="0"/>
        <v>0</v>
      </c>
      <c r="G8" s="118" t="s">
        <v>229</v>
      </c>
      <c r="H8" s="123" t="s">
        <v>150</v>
      </c>
    </row>
    <row r="9" spans="1:9" ht="31.5" x14ac:dyDescent="0.25">
      <c r="A9" s="174"/>
      <c r="B9" s="155" t="s">
        <v>123</v>
      </c>
      <c r="C9" s="157"/>
      <c r="D9" s="118" t="s">
        <v>143</v>
      </c>
      <c r="E9" s="119">
        <v>0</v>
      </c>
      <c r="F9" s="120">
        <f t="shared" si="0"/>
        <v>0</v>
      </c>
      <c r="G9" s="118" t="s">
        <v>230</v>
      </c>
      <c r="H9" s="123" t="s">
        <v>150</v>
      </c>
    </row>
    <row r="10" spans="1:9" ht="78.75" x14ac:dyDescent="0.25">
      <c r="A10" s="174"/>
      <c r="B10" s="155" t="s">
        <v>124</v>
      </c>
      <c r="C10" s="157"/>
      <c r="D10" s="118" t="s">
        <v>134</v>
      </c>
      <c r="E10" s="119">
        <v>0</v>
      </c>
      <c r="F10" s="120">
        <f t="shared" si="0"/>
        <v>0</v>
      </c>
      <c r="G10" s="118" t="s">
        <v>140</v>
      </c>
      <c r="H10" s="123" t="s">
        <v>150</v>
      </c>
    </row>
    <row r="11" spans="1:9" ht="48" x14ac:dyDescent="0.25">
      <c r="A11" s="174"/>
      <c r="B11" s="155" t="s">
        <v>125</v>
      </c>
      <c r="C11" s="157"/>
      <c r="D11" s="118" t="s">
        <v>154</v>
      </c>
      <c r="E11" s="119">
        <v>0.06</v>
      </c>
      <c r="F11" s="120">
        <f t="shared" si="0"/>
        <v>138.91499999999999</v>
      </c>
      <c r="G11" s="118" t="s">
        <v>232</v>
      </c>
      <c r="H11" s="136" t="s">
        <v>221</v>
      </c>
    </row>
    <row r="12" spans="1:9" ht="48" x14ac:dyDescent="0.25">
      <c r="A12" s="174"/>
      <c r="B12" s="155" t="s">
        <v>126</v>
      </c>
      <c r="C12" s="157"/>
      <c r="D12" s="118" t="s">
        <v>155</v>
      </c>
      <c r="E12" s="119">
        <v>0.06</v>
      </c>
      <c r="F12" s="120">
        <f t="shared" si="0"/>
        <v>138.91499999999999</v>
      </c>
      <c r="G12" s="118" t="s">
        <v>231</v>
      </c>
      <c r="H12" s="136" t="s">
        <v>221</v>
      </c>
    </row>
    <row r="13" spans="1:9" ht="63.75" x14ac:dyDescent="0.25">
      <c r="A13" s="174"/>
      <c r="B13" s="155" t="s">
        <v>127</v>
      </c>
      <c r="C13" s="157"/>
      <c r="D13" s="118" t="s">
        <v>144</v>
      </c>
      <c r="E13" s="119">
        <v>0.03</v>
      </c>
      <c r="F13" s="120">
        <f t="shared" si="0"/>
        <v>69.457499999999996</v>
      </c>
      <c r="G13" s="118" t="s">
        <v>137</v>
      </c>
      <c r="H13" s="136" t="s">
        <v>220</v>
      </c>
    </row>
    <row r="14" spans="1:9" ht="63" x14ac:dyDescent="0.25">
      <c r="A14" s="174"/>
      <c r="B14" s="155" t="s">
        <v>128</v>
      </c>
      <c r="C14" s="157"/>
      <c r="D14" s="118" t="s">
        <v>156</v>
      </c>
      <c r="E14" s="119">
        <v>0.02</v>
      </c>
      <c r="F14" s="120">
        <f t="shared" si="0"/>
        <v>46.305</v>
      </c>
      <c r="G14" s="118" t="s">
        <v>138</v>
      </c>
      <c r="H14" s="136" t="s">
        <v>219</v>
      </c>
    </row>
    <row r="15" spans="1:9" ht="95.25" x14ac:dyDescent="0.25">
      <c r="A15" s="174"/>
      <c r="B15" s="155" t="s">
        <v>129</v>
      </c>
      <c r="C15" s="157"/>
      <c r="D15" s="118" t="s">
        <v>237</v>
      </c>
      <c r="E15" s="119">
        <v>0.05</v>
      </c>
      <c r="F15" s="120">
        <f t="shared" si="0"/>
        <v>115.7625</v>
      </c>
      <c r="G15" s="118" t="s">
        <v>142</v>
      </c>
      <c r="H15" s="136" t="s">
        <v>217</v>
      </c>
    </row>
    <row r="16" spans="1:9" ht="79.5" x14ac:dyDescent="0.25">
      <c r="A16" s="174"/>
      <c r="B16" s="155" t="s">
        <v>130</v>
      </c>
      <c r="C16" s="157"/>
      <c r="D16" s="118" t="s">
        <v>146</v>
      </c>
      <c r="E16" s="119">
        <v>0</v>
      </c>
      <c r="F16" s="120">
        <f t="shared" si="0"/>
        <v>0</v>
      </c>
      <c r="G16" s="118" t="s">
        <v>142</v>
      </c>
      <c r="H16" s="123" t="s">
        <v>150</v>
      </c>
    </row>
    <row r="17" spans="1:8" ht="48" x14ac:dyDescent="0.25">
      <c r="A17" s="174"/>
      <c r="B17" s="155" t="s">
        <v>131</v>
      </c>
      <c r="C17" s="157"/>
      <c r="D17" s="118" t="s">
        <v>147</v>
      </c>
      <c r="E17" s="119">
        <v>0</v>
      </c>
      <c r="F17" s="120">
        <f t="shared" si="0"/>
        <v>0</v>
      </c>
      <c r="G17" s="118" t="s">
        <v>149</v>
      </c>
      <c r="H17" s="136" t="s">
        <v>218</v>
      </c>
    </row>
    <row r="18" spans="1:8" ht="62.25" customHeight="1" x14ac:dyDescent="0.25">
      <c r="A18" s="174"/>
      <c r="B18" s="155" t="s">
        <v>132</v>
      </c>
      <c r="C18" s="157"/>
      <c r="D18" s="118" t="s">
        <v>148</v>
      </c>
      <c r="E18" s="119">
        <v>0</v>
      </c>
      <c r="F18" s="120">
        <f t="shared" si="0"/>
        <v>0</v>
      </c>
      <c r="G18" s="118" t="s">
        <v>235</v>
      </c>
      <c r="H18" s="123" t="s">
        <v>150</v>
      </c>
    </row>
    <row r="19" spans="1:8" ht="16.5" x14ac:dyDescent="0.25">
      <c r="A19" s="175"/>
      <c r="B19" s="176" t="s">
        <v>136</v>
      </c>
      <c r="C19" s="177"/>
      <c r="D19" s="178"/>
      <c r="E19" s="126">
        <f>SUM(E6:E18)</f>
        <v>0.3</v>
      </c>
      <c r="F19" s="127">
        <f>SUM(F6:F18)</f>
        <v>694.57499999999993</v>
      </c>
      <c r="G19" s="128"/>
      <c r="H19" s="128"/>
    </row>
    <row r="20" spans="1:8" ht="204.75" customHeight="1" x14ac:dyDescent="0.25">
      <c r="A20" s="161" t="s">
        <v>151</v>
      </c>
      <c r="B20" s="158" t="s">
        <v>153</v>
      </c>
      <c r="C20" s="124" t="s">
        <v>152</v>
      </c>
      <c r="D20" s="118" t="s">
        <v>157</v>
      </c>
      <c r="E20" s="119">
        <v>0</v>
      </c>
      <c r="F20" s="120">
        <f t="shared" ref="F20:F36" si="1">$F$3*E20</f>
        <v>0</v>
      </c>
      <c r="G20" s="118" t="s">
        <v>158</v>
      </c>
      <c r="H20" s="136" t="s">
        <v>222</v>
      </c>
    </row>
    <row r="21" spans="1:8" ht="63.75" x14ac:dyDescent="0.25">
      <c r="A21" s="162"/>
      <c r="B21" s="159"/>
      <c r="C21" s="124" t="s">
        <v>159</v>
      </c>
      <c r="D21" s="118" t="s">
        <v>166</v>
      </c>
      <c r="E21" s="119">
        <v>0.01</v>
      </c>
      <c r="F21" s="120">
        <f t="shared" si="1"/>
        <v>23.1525</v>
      </c>
      <c r="G21" s="118" t="s">
        <v>165</v>
      </c>
      <c r="H21" s="136" t="s">
        <v>223</v>
      </c>
    </row>
    <row r="22" spans="1:8" ht="127.5" x14ac:dyDescent="0.25">
      <c r="A22" s="162"/>
      <c r="B22" s="159"/>
      <c r="C22" s="124" t="s">
        <v>160</v>
      </c>
      <c r="D22" s="118" t="s">
        <v>167</v>
      </c>
      <c r="E22" s="119">
        <v>0</v>
      </c>
      <c r="F22" s="120">
        <f t="shared" si="1"/>
        <v>0</v>
      </c>
      <c r="G22" s="118" t="s">
        <v>164</v>
      </c>
      <c r="H22" s="123" t="s">
        <v>150</v>
      </c>
    </row>
    <row r="23" spans="1:8" ht="33" x14ac:dyDescent="0.25">
      <c r="A23" s="162"/>
      <c r="B23" s="159"/>
      <c r="C23" s="124" t="s">
        <v>161</v>
      </c>
      <c r="D23" s="118" t="s">
        <v>169</v>
      </c>
      <c r="E23" s="119">
        <v>0.03</v>
      </c>
      <c r="F23" s="120">
        <f t="shared" si="1"/>
        <v>69.457499999999996</v>
      </c>
      <c r="G23" s="118" t="s">
        <v>168</v>
      </c>
      <c r="H23" s="136" t="s">
        <v>224</v>
      </c>
    </row>
    <row r="24" spans="1:8" ht="142.5" x14ac:dyDescent="0.25">
      <c r="A24" s="162"/>
      <c r="B24" s="159"/>
      <c r="C24" s="124" t="s">
        <v>162</v>
      </c>
      <c r="D24" s="118" t="s">
        <v>170</v>
      </c>
      <c r="E24" s="119">
        <v>0</v>
      </c>
      <c r="F24" s="120">
        <f t="shared" si="1"/>
        <v>0</v>
      </c>
      <c r="G24" s="118" t="s">
        <v>164</v>
      </c>
      <c r="H24" s="136" t="s">
        <v>225</v>
      </c>
    </row>
    <row r="25" spans="1:8" ht="48.75" x14ac:dyDescent="0.25">
      <c r="A25" s="162"/>
      <c r="B25" s="160"/>
      <c r="C25" s="124" t="s">
        <v>163</v>
      </c>
      <c r="D25" s="118" t="s">
        <v>171</v>
      </c>
      <c r="E25" s="119">
        <v>0</v>
      </c>
      <c r="F25" s="120">
        <f t="shared" si="1"/>
        <v>0</v>
      </c>
      <c r="G25" s="118" t="s">
        <v>164</v>
      </c>
      <c r="H25" s="136" t="s">
        <v>226</v>
      </c>
    </row>
    <row r="26" spans="1:8" ht="79.5" x14ac:dyDescent="0.25">
      <c r="A26" s="162"/>
      <c r="B26" s="124" t="s">
        <v>172</v>
      </c>
      <c r="C26" s="124" t="s">
        <v>173</v>
      </c>
      <c r="D26" s="118" t="s">
        <v>174</v>
      </c>
      <c r="E26" s="119">
        <v>0.01</v>
      </c>
      <c r="F26" s="120">
        <f t="shared" si="1"/>
        <v>23.1525</v>
      </c>
      <c r="G26" s="118" t="s">
        <v>175</v>
      </c>
      <c r="H26" s="136" t="s">
        <v>223</v>
      </c>
    </row>
    <row r="27" spans="1:8" ht="79.5" x14ac:dyDescent="0.25">
      <c r="A27" s="162"/>
      <c r="B27" s="158" t="s">
        <v>176</v>
      </c>
      <c r="C27" s="124" t="s">
        <v>177</v>
      </c>
      <c r="D27" s="118" t="s">
        <v>179</v>
      </c>
      <c r="E27" s="119">
        <v>0</v>
      </c>
      <c r="F27" s="120">
        <f t="shared" si="1"/>
        <v>0</v>
      </c>
      <c r="G27" s="121" t="s">
        <v>234</v>
      </c>
      <c r="H27" s="123" t="s">
        <v>150</v>
      </c>
    </row>
    <row r="28" spans="1:8" ht="64.5" x14ac:dyDescent="0.25">
      <c r="A28" s="162"/>
      <c r="B28" s="160"/>
      <c r="C28" s="124" t="s">
        <v>178</v>
      </c>
      <c r="D28" s="118" t="s">
        <v>180</v>
      </c>
      <c r="E28" s="119">
        <v>0.02</v>
      </c>
      <c r="F28" s="120">
        <f t="shared" si="1"/>
        <v>46.305</v>
      </c>
      <c r="G28" s="118" t="s">
        <v>181</v>
      </c>
      <c r="H28" s="136" t="s">
        <v>233</v>
      </c>
    </row>
    <row r="29" spans="1:8" ht="16.5" x14ac:dyDescent="0.25">
      <c r="A29" s="162"/>
      <c r="B29" s="163" t="s">
        <v>136</v>
      </c>
      <c r="C29" s="164"/>
      <c r="D29" s="165"/>
      <c r="E29" s="129">
        <f>SUM(E20:E28)</f>
        <v>7.0000000000000007E-2</v>
      </c>
      <c r="F29" s="130">
        <f t="shared" si="1"/>
        <v>162.06750000000002</v>
      </c>
      <c r="G29" s="131"/>
      <c r="H29" s="131"/>
    </row>
    <row r="30" spans="1:8" ht="16.5" x14ac:dyDescent="0.25">
      <c r="A30" s="166" t="s">
        <v>182</v>
      </c>
      <c r="B30" s="167"/>
      <c r="C30" s="167"/>
      <c r="D30" s="168"/>
      <c r="E30" s="132">
        <f>E29+E19</f>
        <v>0.37</v>
      </c>
      <c r="F30" s="133">
        <f t="shared" si="1"/>
        <v>856.64250000000004</v>
      </c>
      <c r="G30" s="134" t="s">
        <v>205</v>
      </c>
      <c r="H30" s="134"/>
    </row>
    <row r="31" spans="1:8" ht="47.25" x14ac:dyDescent="0.25">
      <c r="A31" s="169" t="s">
        <v>183</v>
      </c>
      <c r="B31" s="170"/>
      <c r="C31" s="171"/>
      <c r="D31" s="135" t="s">
        <v>185</v>
      </c>
      <c r="E31" s="119">
        <v>0.3</v>
      </c>
      <c r="F31" s="120">
        <f t="shared" si="1"/>
        <v>694.57499999999993</v>
      </c>
      <c r="G31" s="121" t="s">
        <v>184</v>
      </c>
      <c r="H31" s="123" t="s">
        <v>150</v>
      </c>
    </row>
    <row r="32" spans="1:8" ht="48" x14ac:dyDescent="0.25">
      <c r="A32" s="183" t="s">
        <v>195</v>
      </c>
      <c r="B32" s="184"/>
      <c r="C32" s="117" t="s">
        <v>186</v>
      </c>
      <c r="D32" s="118" t="s">
        <v>197</v>
      </c>
      <c r="E32" s="119">
        <v>0</v>
      </c>
      <c r="F32" s="120">
        <f t="shared" si="1"/>
        <v>0</v>
      </c>
      <c r="G32" s="118" t="s">
        <v>201</v>
      </c>
      <c r="H32" s="123" t="s">
        <v>150</v>
      </c>
    </row>
    <row r="33" spans="1:8" ht="32.25" x14ac:dyDescent="0.25">
      <c r="A33" s="185"/>
      <c r="B33" s="186"/>
      <c r="C33" s="117" t="s">
        <v>187</v>
      </c>
      <c r="D33" s="118" t="s">
        <v>199</v>
      </c>
      <c r="E33" s="119">
        <v>0</v>
      </c>
      <c r="F33" s="120">
        <f t="shared" si="1"/>
        <v>0</v>
      </c>
      <c r="G33" s="118" t="s">
        <v>196</v>
      </c>
      <c r="H33" s="123" t="s">
        <v>150</v>
      </c>
    </row>
    <row r="34" spans="1:8" ht="409.5" x14ac:dyDescent="0.25">
      <c r="A34" s="185"/>
      <c r="B34" s="186"/>
      <c r="C34" s="117" t="s">
        <v>188</v>
      </c>
      <c r="D34" s="118" t="s">
        <v>200</v>
      </c>
      <c r="E34" s="119">
        <v>0</v>
      </c>
      <c r="F34" s="120">
        <f t="shared" si="1"/>
        <v>0</v>
      </c>
      <c r="G34" s="121" t="s">
        <v>164</v>
      </c>
      <c r="H34" s="123" t="s">
        <v>150</v>
      </c>
    </row>
    <row r="35" spans="1:8" ht="21" customHeight="1" x14ac:dyDescent="0.25">
      <c r="A35" s="185"/>
      <c r="B35" s="186"/>
      <c r="C35" s="117" t="s">
        <v>189</v>
      </c>
      <c r="D35" s="118" t="s">
        <v>191</v>
      </c>
      <c r="E35" s="119">
        <v>0</v>
      </c>
      <c r="F35" s="120">
        <f t="shared" si="1"/>
        <v>0</v>
      </c>
      <c r="G35" s="118"/>
      <c r="H35" s="123" t="s">
        <v>150</v>
      </c>
    </row>
    <row r="36" spans="1:8" ht="16.5" x14ac:dyDescent="0.25">
      <c r="A36" s="185"/>
      <c r="B36" s="186"/>
      <c r="C36" s="117" t="s">
        <v>190</v>
      </c>
      <c r="D36" s="118" t="s">
        <v>192</v>
      </c>
      <c r="E36" s="119">
        <v>0</v>
      </c>
      <c r="F36" s="120">
        <f t="shared" si="1"/>
        <v>0</v>
      </c>
      <c r="G36" s="118"/>
      <c r="H36" s="123" t="s">
        <v>150</v>
      </c>
    </row>
    <row r="37" spans="1:8" x14ac:dyDescent="0.25">
      <c r="A37" s="187"/>
      <c r="B37" s="188"/>
      <c r="C37" s="189" t="s">
        <v>136</v>
      </c>
      <c r="D37" s="190"/>
      <c r="E37" s="148">
        <f>SUM(E32:E36)</f>
        <v>0</v>
      </c>
      <c r="F37" s="149">
        <f>SUM(F32:F36)</f>
        <v>0</v>
      </c>
      <c r="G37" s="153" t="s">
        <v>193</v>
      </c>
      <c r="H37" s="154"/>
    </row>
    <row r="38" spans="1:8" ht="35.25" customHeight="1" x14ac:dyDescent="0.25">
      <c r="A38" s="155" t="s">
        <v>194</v>
      </c>
      <c r="B38" s="156"/>
      <c r="C38" s="157"/>
      <c r="D38" s="118" t="s">
        <v>254</v>
      </c>
      <c r="E38" s="119">
        <v>0</v>
      </c>
      <c r="F38" s="120">
        <f>$F$3*E38</f>
        <v>0</v>
      </c>
      <c r="G38" s="118" t="s">
        <v>204</v>
      </c>
      <c r="H38" s="118"/>
    </row>
    <row r="39" spans="1:8" ht="33" customHeight="1" x14ac:dyDescent="0.25">
      <c r="A39" s="155" t="s">
        <v>202</v>
      </c>
      <c r="B39" s="156"/>
      <c r="C39" s="157"/>
      <c r="D39" s="118" t="s">
        <v>255</v>
      </c>
      <c r="E39" s="119">
        <v>0</v>
      </c>
      <c r="F39" s="120">
        <f>$F$3*E39</f>
        <v>0</v>
      </c>
      <c r="G39" s="118" t="s">
        <v>204</v>
      </c>
      <c r="H39" s="118"/>
    </row>
    <row r="40" spans="1:8" ht="33.75" customHeight="1" x14ac:dyDescent="0.25">
      <c r="A40" s="155" t="s">
        <v>198</v>
      </c>
      <c r="B40" s="156"/>
      <c r="C40" s="156"/>
      <c r="D40" s="157"/>
      <c r="E40" s="122">
        <f>E30+E37+E38+E39</f>
        <v>0.37</v>
      </c>
      <c r="F40" s="137">
        <f>F30+F37+F38+F39</f>
        <v>856.64250000000004</v>
      </c>
      <c r="G40" s="121"/>
      <c r="H40" s="121"/>
    </row>
  </sheetData>
  <mergeCells count="34">
    <mergeCell ref="A4:A5"/>
    <mergeCell ref="D4:D5"/>
    <mergeCell ref="B15:C15"/>
    <mergeCell ref="B16:C16"/>
    <mergeCell ref="B17:C17"/>
    <mergeCell ref="B12:C12"/>
    <mergeCell ref="B13:C13"/>
    <mergeCell ref="B14:C14"/>
    <mergeCell ref="B7:C7"/>
    <mergeCell ref="B8:C8"/>
    <mergeCell ref="B9:C9"/>
    <mergeCell ref="B10:C10"/>
    <mergeCell ref="B11:C11"/>
    <mergeCell ref="A39:C39"/>
    <mergeCell ref="B18:C18"/>
    <mergeCell ref="A32:B37"/>
    <mergeCell ref="C37:D37"/>
    <mergeCell ref="A40:D40"/>
    <mergeCell ref="I4:I5"/>
    <mergeCell ref="G37:H37"/>
    <mergeCell ref="A38:C38"/>
    <mergeCell ref="B20:B25"/>
    <mergeCell ref="B27:B28"/>
    <mergeCell ref="A20:A29"/>
    <mergeCell ref="B29:D29"/>
    <mergeCell ref="A30:D30"/>
    <mergeCell ref="A31:C31"/>
    <mergeCell ref="E4:F4"/>
    <mergeCell ref="G4:G5"/>
    <mergeCell ref="H4:H5"/>
    <mergeCell ref="A6:A19"/>
    <mergeCell ref="B19:D19"/>
    <mergeCell ref="B4:C5"/>
    <mergeCell ref="B6:C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D1F7D-7AC6-4FC1-97E9-D88C79734BE9}">
  <sheetPr>
    <pageSetUpPr fitToPage="1"/>
  </sheetPr>
  <dimension ref="A1:S56"/>
  <sheetViews>
    <sheetView zoomScaleNormal="100" zoomScaleSheetLayoutView="50" zoomScalePageLayoutView="30" workbookViewId="0">
      <selection activeCell="I10" sqref="I10"/>
    </sheetView>
  </sheetViews>
  <sheetFormatPr defaultColWidth="10" defaultRowHeight="15.75" x14ac:dyDescent="0.25"/>
  <cols>
    <col min="1" max="1" width="3.875" style="2" customWidth="1"/>
    <col min="2" max="2" width="21.75" style="23" customWidth="1"/>
    <col min="3" max="3" width="13.25" style="2" customWidth="1"/>
    <col min="4" max="4" width="17.375" style="2" customWidth="1"/>
    <col min="5" max="5" width="14.75" style="2" customWidth="1"/>
    <col min="6" max="6" width="20.375" style="2" customWidth="1"/>
    <col min="7" max="7" width="59.375" style="108" customWidth="1"/>
    <col min="8" max="8" width="13.25" style="2" customWidth="1"/>
    <col min="9" max="9" width="13" style="2" bestFit="1" customWidth="1"/>
    <col min="10" max="10" width="12.125" style="2" bestFit="1" customWidth="1"/>
    <col min="11" max="11" width="11.125" style="2" bestFit="1" customWidth="1"/>
    <col min="12" max="13" width="13.125" style="2" customWidth="1"/>
    <col min="14" max="16384" width="10" style="2"/>
  </cols>
  <sheetData>
    <row r="1" spans="1:19" ht="32.65" customHeight="1" x14ac:dyDescent="0.25">
      <c r="A1" s="263" t="s">
        <v>0</v>
      </c>
      <c r="B1" s="263"/>
      <c r="C1" s="263"/>
      <c r="D1" s="263"/>
      <c r="E1" s="263"/>
      <c r="F1" s="263"/>
      <c r="G1" s="263"/>
    </row>
    <row r="2" spans="1:19" ht="32.65" customHeight="1" thickBot="1" x14ac:dyDescent="0.3">
      <c r="A2" s="1"/>
      <c r="B2" s="1"/>
      <c r="C2" s="1"/>
      <c r="D2" s="1"/>
      <c r="E2" s="69" t="s">
        <v>1</v>
      </c>
      <c r="F2" s="69" t="s">
        <v>2</v>
      </c>
      <c r="G2" s="88"/>
      <c r="I2" s="3"/>
      <c r="J2" s="4"/>
      <c r="K2" s="5"/>
      <c r="L2" s="57"/>
      <c r="M2" s="57"/>
    </row>
    <row r="3" spans="1:19" s="8" customFormat="1" ht="42" customHeight="1" thickBot="1" x14ac:dyDescent="0.3">
      <c r="A3" s="6"/>
      <c r="B3" s="264" t="s">
        <v>102</v>
      </c>
      <c r="C3" s="265"/>
      <c r="D3" s="265"/>
      <c r="E3" s="113">
        <f>1-F3</f>
        <v>0.6</v>
      </c>
      <c r="F3" s="7">
        <v>0.4</v>
      </c>
      <c r="G3" s="89" t="s">
        <v>3</v>
      </c>
      <c r="I3" s="86" t="s">
        <v>104</v>
      </c>
      <c r="J3" s="59"/>
      <c r="K3" s="59"/>
      <c r="L3" s="60"/>
      <c r="M3" s="60"/>
      <c r="N3" s="2"/>
    </row>
    <row r="4" spans="1:19" ht="25.35" customHeight="1" x14ac:dyDescent="0.25">
      <c r="A4" s="237" t="s">
        <v>4</v>
      </c>
      <c r="B4" s="9" t="s">
        <v>5</v>
      </c>
      <c r="C4" s="266"/>
      <c r="D4" s="266"/>
      <c r="E4" s="266"/>
      <c r="F4" s="266"/>
      <c r="G4" s="90"/>
      <c r="H4" s="10"/>
      <c r="I4" s="58"/>
      <c r="J4" s="59"/>
      <c r="K4" s="59"/>
      <c r="L4" s="60"/>
      <c r="M4" s="60"/>
    </row>
    <row r="5" spans="1:19" ht="25.35" customHeight="1" x14ac:dyDescent="0.25">
      <c r="A5" s="238"/>
      <c r="B5" s="11" t="s">
        <v>6</v>
      </c>
      <c r="C5" s="266"/>
      <c r="D5" s="266"/>
      <c r="E5" s="266"/>
      <c r="F5" s="266"/>
      <c r="G5" s="91"/>
      <c r="H5" s="10"/>
      <c r="I5" s="58"/>
      <c r="J5" s="59"/>
      <c r="K5" s="59"/>
      <c r="L5" s="60"/>
      <c r="M5" s="60"/>
    </row>
    <row r="6" spans="1:19" ht="25.35" customHeight="1" x14ac:dyDescent="0.25">
      <c r="A6" s="238"/>
      <c r="B6" s="11" t="s">
        <v>7</v>
      </c>
      <c r="C6" s="267">
        <f>'都更獎勵(北市)'!F1</f>
        <v>1029</v>
      </c>
      <c r="D6" s="267"/>
      <c r="E6" s="268">
        <f>C6*0.3025</f>
        <v>311.27249999999998</v>
      </c>
      <c r="F6" s="268"/>
      <c r="G6" s="92"/>
      <c r="H6" s="10"/>
      <c r="I6" s="58"/>
      <c r="J6" s="59"/>
      <c r="K6" s="59"/>
      <c r="L6" s="60"/>
      <c r="M6" s="61"/>
    </row>
    <row r="7" spans="1:19" ht="25.35" customHeight="1" x14ac:dyDescent="0.25">
      <c r="A7" s="238"/>
      <c r="B7" s="11" t="s">
        <v>8</v>
      </c>
      <c r="C7" s="269">
        <f>(C8*D8+C9*D9)/C6</f>
        <v>0.45</v>
      </c>
      <c r="D7" s="269"/>
      <c r="E7" s="270">
        <f>(C8*E8+C9*E9)/C6</f>
        <v>2.25</v>
      </c>
      <c r="F7" s="270"/>
      <c r="G7" s="92"/>
      <c r="H7" s="10"/>
      <c r="I7" s="14"/>
      <c r="J7" s="3"/>
      <c r="K7" s="3"/>
      <c r="L7" s="60"/>
      <c r="M7" s="62"/>
    </row>
    <row r="8" spans="1:19" ht="25.35" customHeight="1" x14ac:dyDescent="0.25">
      <c r="A8" s="238"/>
      <c r="B8" s="11" t="s">
        <v>96</v>
      </c>
      <c r="C8" s="87">
        <f>C6</f>
        <v>1029</v>
      </c>
      <c r="D8" s="79">
        <v>0.45</v>
      </c>
      <c r="E8" s="80">
        <v>2.25</v>
      </c>
      <c r="F8" s="271">
        <v>0.8</v>
      </c>
      <c r="G8" s="93"/>
      <c r="H8" s="10"/>
      <c r="I8" s="14"/>
      <c r="J8" s="3"/>
      <c r="K8" s="3"/>
      <c r="L8" s="62"/>
      <c r="M8" s="62"/>
    </row>
    <row r="9" spans="1:19" ht="25.35" customHeight="1" x14ac:dyDescent="0.25">
      <c r="A9" s="238"/>
      <c r="B9" s="11" t="s">
        <v>97</v>
      </c>
      <c r="C9" s="78">
        <f>C6-C8</f>
        <v>0</v>
      </c>
      <c r="D9" s="79">
        <v>0</v>
      </c>
      <c r="E9" s="80">
        <v>0</v>
      </c>
      <c r="F9" s="271"/>
      <c r="G9" s="93"/>
      <c r="H9" s="63"/>
      <c r="I9" s="14"/>
      <c r="J9" s="3"/>
      <c r="K9" s="3"/>
      <c r="L9" s="62"/>
      <c r="M9" s="62"/>
    </row>
    <row r="10" spans="1:19" ht="25.35" customHeight="1" x14ac:dyDescent="0.25">
      <c r="A10" s="238"/>
      <c r="B10" s="11" t="s">
        <v>12</v>
      </c>
      <c r="C10" s="272">
        <v>11</v>
      </c>
      <c r="D10" s="272"/>
      <c r="E10" s="273" t="s">
        <v>103</v>
      </c>
      <c r="F10" s="274"/>
      <c r="G10" s="94"/>
      <c r="I10" s="14"/>
      <c r="J10" s="3"/>
      <c r="K10" s="3"/>
      <c r="L10" s="62"/>
      <c r="M10" s="62"/>
    </row>
    <row r="11" spans="1:19" ht="25.35" customHeight="1" thickBot="1" x14ac:dyDescent="0.3">
      <c r="A11" s="239"/>
      <c r="B11" s="12" t="s">
        <v>14</v>
      </c>
      <c r="C11" s="275" t="str">
        <f>C49&amp;"F/B"&amp;E35</f>
        <v>12F/B4</v>
      </c>
      <c r="D11" s="275"/>
      <c r="E11" s="47" t="s">
        <v>15</v>
      </c>
      <c r="F11" s="47" t="s">
        <v>16</v>
      </c>
      <c r="G11" s="95" t="s">
        <v>17</v>
      </c>
      <c r="I11" s="14"/>
      <c r="J11" s="59"/>
      <c r="K11" s="59"/>
      <c r="L11" s="64"/>
      <c r="M11" s="64"/>
    </row>
    <row r="12" spans="1:19" s="14" customFormat="1" ht="25.35" customHeight="1" x14ac:dyDescent="0.25">
      <c r="A12" s="249" t="s">
        <v>18</v>
      </c>
      <c r="B12" s="250"/>
      <c r="C12" s="13" t="s">
        <v>19</v>
      </c>
      <c r="D12" s="13" t="s">
        <v>20</v>
      </c>
      <c r="E12" s="251" t="s">
        <v>21</v>
      </c>
      <c r="F12" s="250"/>
      <c r="G12" s="96" t="s">
        <v>22</v>
      </c>
      <c r="I12" s="2"/>
      <c r="J12" s="65"/>
      <c r="K12" s="66"/>
      <c r="L12" s="64"/>
      <c r="M12" s="64"/>
    </row>
    <row r="13" spans="1:19" ht="25.35" customHeight="1" x14ac:dyDescent="0.25">
      <c r="A13" s="259" t="s">
        <v>23</v>
      </c>
      <c r="B13" s="15" t="s">
        <v>24</v>
      </c>
      <c r="C13" s="16">
        <f>C8</f>
        <v>1029</v>
      </c>
      <c r="D13" s="16">
        <f>C13*0.3025</f>
        <v>311.27249999999998</v>
      </c>
      <c r="E13" s="261"/>
      <c r="F13" s="261"/>
      <c r="G13" s="97"/>
      <c r="J13" s="17"/>
      <c r="K13" s="18"/>
      <c r="L13" s="67"/>
      <c r="M13" s="67"/>
    </row>
    <row r="14" spans="1:19" ht="25.35" customHeight="1" x14ac:dyDescent="0.25">
      <c r="A14" s="259"/>
      <c r="B14" s="11" t="s">
        <v>25</v>
      </c>
      <c r="C14" s="19">
        <v>0</v>
      </c>
      <c r="D14" s="19">
        <f t="shared" ref="D14:D29" si="0">C14*0.3025</f>
        <v>0</v>
      </c>
      <c r="E14" s="222"/>
      <c r="F14" s="222"/>
      <c r="G14" s="98"/>
      <c r="J14" s="17"/>
      <c r="K14" s="18"/>
      <c r="L14" s="21"/>
      <c r="M14" s="21"/>
    </row>
    <row r="15" spans="1:19" ht="25.35" customHeight="1" x14ac:dyDescent="0.25">
      <c r="A15" s="259"/>
      <c r="B15" s="11" t="s">
        <v>26</v>
      </c>
      <c r="C15" s="19">
        <f>MIN((C6*C7),C13*E15)</f>
        <v>463.05</v>
      </c>
      <c r="D15" s="19">
        <f t="shared" ref="D15:D20" si="1">C15*0.3025</f>
        <v>140.07262499999999</v>
      </c>
      <c r="E15" s="262">
        <f>D8</f>
        <v>0.45</v>
      </c>
      <c r="F15" s="262"/>
      <c r="G15" s="98"/>
      <c r="J15" s="17"/>
      <c r="K15" s="18"/>
      <c r="L15" s="21"/>
      <c r="M15" s="21"/>
      <c r="P15" s="252"/>
      <c r="Q15" s="252"/>
      <c r="R15" s="252"/>
      <c r="S15" s="252"/>
    </row>
    <row r="16" spans="1:19" ht="25.35" customHeight="1" thickBot="1" x14ac:dyDescent="0.3">
      <c r="A16" s="260"/>
      <c r="B16" s="12" t="s">
        <v>27</v>
      </c>
      <c r="C16" s="22">
        <f>(C14+C23+C24+C25+C26)/C49</f>
        <v>397.04506578947371</v>
      </c>
      <c r="D16" s="22">
        <f t="shared" si="1"/>
        <v>120.10613240131579</v>
      </c>
      <c r="E16" s="253">
        <f>C16/C13</f>
        <v>0.38585526315789476</v>
      </c>
      <c r="F16" s="253"/>
      <c r="G16" s="99" t="s">
        <v>253</v>
      </c>
      <c r="J16" s="17"/>
      <c r="K16" s="18"/>
      <c r="L16" s="21"/>
      <c r="M16" s="21"/>
    </row>
    <row r="17" spans="1:13" ht="25.35" customHeight="1" x14ac:dyDescent="0.25">
      <c r="A17" s="237" t="s">
        <v>28</v>
      </c>
      <c r="B17" s="70" t="s">
        <v>29</v>
      </c>
      <c r="C17" s="71">
        <f>C6*E7</f>
        <v>2315.25</v>
      </c>
      <c r="D17" s="71">
        <f t="shared" si="1"/>
        <v>700.36312499999997</v>
      </c>
      <c r="E17" s="255">
        <f>E7</f>
        <v>2.25</v>
      </c>
      <c r="F17" s="255"/>
      <c r="G17" s="100"/>
      <c r="I17" s="23"/>
      <c r="J17" s="17"/>
      <c r="K17" s="18"/>
      <c r="L17" s="21"/>
      <c r="M17" s="21"/>
    </row>
    <row r="18" spans="1:13" ht="25.35" customHeight="1" x14ac:dyDescent="0.25">
      <c r="A18" s="254"/>
      <c r="B18" s="24" t="s">
        <v>30</v>
      </c>
      <c r="C18" s="25">
        <f>$C$17*E18</f>
        <v>0</v>
      </c>
      <c r="D18" s="25">
        <f t="shared" si="1"/>
        <v>0</v>
      </c>
      <c r="E18" s="256">
        <v>0</v>
      </c>
      <c r="F18" s="256"/>
      <c r="G18" s="101"/>
      <c r="J18" s="17"/>
      <c r="K18" s="17"/>
    </row>
    <row r="19" spans="1:13" ht="34.9" customHeight="1" x14ac:dyDescent="0.25">
      <c r="A19" s="238"/>
      <c r="B19" s="26" t="s">
        <v>94</v>
      </c>
      <c r="C19" s="27">
        <f>$C$17*E19</f>
        <v>0</v>
      </c>
      <c r="D19" s="27">
        <f t="shared" si="1"/>
        <v>0</v>
      </c>
      <c r="E19" s="256">
        <v>0</v>
      </c>
      <c r="F19" s="256"/>
      <c r="G19" s="102"/>
    </row>
    <row r="20" spans="1:13" ht="25.35" customHeight="1" x14ac:dyDescent="0.25">
      <c r="A20" s="238"/>
      <c r="B20" s="28" t="s">
        <v>33</v>
      </c>
      <c r="C20" s="25">
        <f>$C$17*E20</f>
        <v>1620.675</v>
      </c>
      <c r="D20" s="25">
        <f t="shared" si="1"/>
        <v>490.25418749999994</v>
      </c>
      <c r="E20" s="257">
        <v>0.7</v>
      </c>
      <c r="F20" s="257"/>
      <c r="G20" s="103" t="s">
        <v>206</v>
      </c>
      <c r="J20" s="29"/>
    </row>
    <row r="21" spans="1:13" ht="25.35" customHeight="1" x14ac:dyDescent="0.25">
      <c r="A21" s="238"/>
      <c r="B21" s="28" t="s">
        <v>35</v>
      </c>
      <c r="C21" s="25">
        <f>$C$17*E21</f>
        <v>0</v>
      </c>
      <c r="D21" s="25">
        <f t="shared" si="0"/>
        <v>0</v>
      </c>
      <c r="E21" s="257">
        <v>0</v>
      </c>
      <c r="F21" s="257"/>
      <c r="G21" s="103"/>
      <c r="J21" s="30"/>
    </row>
    <row r="22" spans="1:13" ht="25.35" customHeight="1" x14ac:dyDescent="0.25">
      <c r="A22" s="238"/>
      <c r="B22" s="28" t="s">
        <v>36</v>
      </c>
      <c r="C22" s="25">
        <f>$C$17*E22</f>
        <v>1620.675</v>
      </c>
      <c r="D22" s="25">
        <f t="shared" si="0"/>
        <v>490.25418749999994</v>
      </c>
      <c r="E22" s="257">
        <f>E19+E20+E21</f>
        <v>0.7</v>
      </c>
      <c r="F22" s="257"/>
      <c r="G22" s="103"/>
      <c r="J22" s="30"/>
    </row>
    <row r="23" spans="1:13" ht="36.75" customHeight="1" thickBot="1" x14ac:dyDescent="0.3">
      <c r="A23" s="239"/>
      <c r="B23" s="55" t="s">
        <v>28</v>
      </c>
      <c r="C23" s="22">
        <f>C17+C18+C22</f>
        <v>3935.9250000000002</v>
      </c>
      <c r="D23" s="22">
        <f>C23*0.3025</f>
        <v>1190.6173125</v>
      </c>
      <c r="E23" s="258">
        <f>E17*(1+E18+E22)</f>
        <v>3.8249999999999997</v>
      </c>
      <c r="F23" s="258"/>
      <c r="G23" s="99" t="s">
        <v>98</v>
      </c>
      <c r="J23" s="30"/>
    </row>
    <row r="24" spans="1:13" ht="25.35" customHeight="1" x14ac:dyDescent="0.25">
      <c r="A24" s="237" t="s">
        <v>39</v>
      </c>
      <c r="B24" s="9" t="s">
        <v>40</v>
      </c>
      <c r="C24" s="31">
        <f>(C23)*E24</f>
        <v>590.38874999999996</v>
      </c>
      <c r="D24" s="31">
        <f>C24*0.3025</f>
        <v>178.59259687499997</v>
      </c>
      <c r="E24" s="240">
        <v>0.15</v>
      </c>
      <c r="F24" s="240"/>
      <c r="G24" s="100" t="s">
        <v>41</v>
      </c>
      <c r="J24" s="30"/>
    </row>
    <row r="25" spans="1:13" ht="25.35" customHeight="1" x14ac:dyDescent="0.25">
      <c r="A25" s="238"/>
      <c r="B25" s="11" t="s">
        <v>42</v>
      </c>
      <c r="C25" s="19">
        <f>(C23+C24)/0.95*E25</f>
        <v>238.22703947368424</v>
      </c>
      <c r="D25" s="19">
        <f>C25*0.3025</f>
        <v>72.063679440789485</v>
      </c>
      <c r="E25" s="229">
        <v>0.05</v>
      </c>
      <c r="F25" s="229"/>
      <c r="G25" s="98" t="s">
        <v>43</v>
      </c>
      <c r="J25" s="30"/>
    </row>
    <row r="26" spans="1:13" ht="25.35" customHeight="1" x14ac:dyDescent="0.25">
      <c r="A26" s="238"/>
      <c r="B26" s="11" t="s">
        <v>44</v>
      </c>
      <c r="C26" s="19">
        <v>0</v>
      </c>
      <c r="D26" s="19">
        <f t="shared" si="0"/>
        <v>0</v>
      </c>
      <c r="E26" s="222"/>
      <c r="F26" s="222"/>
      <c r="G26" s="98"/>
      <c r="J26" s="30"/>
    </row>
    <row r="27" spans="1:13" ht="25.35" customHeight="1" x14ac:dyDescent="0.25">
      <c r="A27" s="238"/>
      <c r="B27" s="11" t="s">
        <v>45</v>
      </c>
      <c r="C27" s="19">
        <f>C13*E16*1/8*E27</f>
        <v>148.89189967105264</v>
      </c>
      <c r="D27" s="19">
        <f>C27*0.3025</f>
        <v>45.039799650493421</v>
      </c>
      <c r="E27" s="241">
        <v>3</v>
      </c>
      <c r="F27" s="241"/>
      <c r="G27" s="98" t="s">
        <v>46</v>
      </c>
      <c r="J27" s="30"/>
    </row>
    <row r="28" spans="1:13" ht="25.35" customHeight="1" x14ac:dyDescent="0.25">
      <c r="A28" s="238"/>
      <c r="B28" s="11" t="s">
        <v>47</v>
      </c>
      <c r="C28" s="19">
        <f>(C23+C24)/0.95*E28</f>
        <v>476.45407894736849</v>
      </c>
      <c r="D28" s="19">
        <f>C28*0.3025</f>
        <v>144.12735888157897</v>
      </c>
      <c r="E28" s="229">
        <v>0.1</v>
      </c>
      <c r="F28" s="229"/>
      <c r="G28" s="98" t="s">
        <v>48</v>
      </c>
      <c r="J28" s="30"/>
    </row>
    <row r="29" spans="1:13" ht="25.35" customHeight="1" thickBot="1" x14ac:dyDescent="0.3">
      <c r="A29" s="239"/>
      <c r="B29" s="12" t="s">
        <v>49</v>
      </c>
      <c r="C29" s="22">
        <f>C23*E29</f>
        <v>0</v>
      </c>
      <c r="D29" s="22">
        <f t="shared" si="0"/>
        <v>0</v>
      </c>
      <c r="E29" s="242">
        <v>0</v>
      </c>
      <c r="F29" s="242"/>
      <c r="G29" s="104" t="s">
        <v>50</v>
      </c>
      <c r="J29" s="30"/>
    </row>
    <row r="30" spans="1:13" ht="24" customHeight="1" x14ac:dyDescent="0.25">
      <c r="A30" s="237" t="s">
        <v>51</v>
      </c>
      <c r="B30" s="32" t="s">
        <v>52</v>
      </c>
      <c r="C30" s="33">
        <f>ROUNDUP((C23+C24+C25)/120,0)</f>
        <v>40</v>
      </c>
      <c r="D30" s="34">
        <v>16</v>
      </c>
      <c r="E30" s="243">
        <f>C30+D30</f>
        <v>56</v>
      </c>
      <c r="F30" s="243"/>
      <c r="G30" s="105" t="s">
        <v>99</v>
      </c>
      <c r="H30" s="35"/>
      <c r="J30" s="36"/>
      <c r="K30" s="68"/>
    </row>
    <row r="31" spans="1:13" ht="25.35" customHeight="1" x14ac:dyDescent="0.25">
      <c r="A31" s="238"/>
      <c r="B31" s="28" t="s">
        <v>53</v>
      </c>
      <c r="C31" s="37">
        <f>ROUNDUP((C23+C24+C25)/100,0)</f>
        <v>48</v>
      </c>
      <c r="D31" s="38">
        <v>20</v>
      </c>
      <c r="E31" s="244">
        <f>SUM(C31:D31)</f>
        <v>68</v>
      </c>
      <c r="F31" s="244"/>
      <c r="G31" s="106" t="s">
        <v>100</v>
      </c>
      <c r="H31" s="35"/>
    </row>
    <row r="32" spans="1:13" ht="25.35" customHeight="1" x14ac:dyDescent="0.25">
      <c r="A32" s="238"/>
      <c r="B32" s="28" t="s">
        <v>55</v>
      </c>
      <c r="C32" s="25">
        <f>E30*E32</f>
        <v>2240</v>
      </c>
      <c r="D32" s="19">
        <f>C32*0.3025</f>
        <v>677.6</v>
      </c>
      <c r="E32" s="245">
        <v>40</v>
      </c>
      <c r="F32" s="245"/>
      <c r="G32" s="98" t="s">
        <v>106</v>
      </c>
      <c r="H32" s="35"/>
    </row>
    <row r="33" spans="1:9" ht="25.35" customHeight="1" x14ac:dyDescent="0.25">
      <c r="A33" s="238"/>
      <c r="B33" s="28" t="s">
        <v>56</v>
      </c>
      <c r="C33" s="25">
        <f>C31*E33</f>
        <v>192</v>
      </c>
      <c r="D33" s="19">
        <f>C33*0.3025</f>
        <v>58.08</v>
      </c>
      <c r="E33" s="246">
        <v>4</v>
      </c>
      <c r="F33" s="246"/>
      <c r="G33" s="98" t="s">
        <v>57</v>
      </c>
    </row>
    <row r="34" spans="1:9" ht="25.35" customHeight="1" x14ac:dyDescent="0.25">
      <c r="A34" s="238"/>
      <c r="B34" s="28" t="s">
        <v>58</v>
      </c>
      <c r="C34" s="25">
        <f>D31*E34</f>
        <v>29.6</v>
      </c>
      <c r="D34" s="19">
        <f>C34*0.3025</f>
        <v>8.9540000000000006</v>
      </c>
      <c r="E34" s="247">
        <v>1.48</v>
      </c>
      <c r="F34" s="248"/>
      <c r="G34" s="98" t="s">
        <v>107</v>
      </c>
    </row>
    <row r="35" spans="1:9" ht="25.35" customHeight="1" x14ac:dyDescent="0.25">
      <c r="A35" s="238"/>
      <c r="B35" s="28" t="s">
        <v>59</v>
      </c>
      <c r="C35" s="25">
        <f>C13*F8</f>
        <v>823.2</v>
      </c>
      <c r="D35" s="19">
        <f>C35*0.3025</f>
        <v>249.018</v>
      </c>
      <c r="E35" s="227">
        <f>D40</f>
        <v>4</v>
      </c>
      <c r="F35" s="227"/>
      <c r="G35" s="98" t="s">
        <v>60</v>
      </c>
      <c r="I35" s="39"/>
    </row>
    <row r="36" spans="1:9" ht="25.35" customHeight="1" x14ac:dyDescent="0.25">
      <c r="A36" s="238"/>
      <c r="B36" s="28" t="s">
        <v>61</v>
      </c>
      <c r="C36" s="25">
        <f>C13*C7/8*E35</f>
        <v>231.52500000000001</v>
      </c>
      <c r="D36" s="19">
        <f t="shared" ref="D36:D38" si="2">C36*0.3025</f>
        <v>70.036312499999994</v>
      </c>
      <c r="E36" s="228"/>
      <c r="F36" s="228"/>
      <c r="G36" s="106"/>
      <c r="I36" s="40"/>
    </row>
    <row r="37" spans="1:9" ht="25.35" customHeight="1" x14ac:dyDescent="0.25">
      <c r="A37" s="238"/>
      <c r="B37" s="28" t="s">
        <v>62</v>
      </c>
      <c r="C37" s="25">
        <f>C23*E37</f>
        <v>196.79625000000001</v>
      </c>
      <c r="D37" s="19">
        <f t="shared" si="2"/>
        <v>59.530865625000004</v>
      </c>
      <c r="E37" s="229">
        <v>0.05</v>
      </c>
      <c r="F37" s="229"/>
      <c r="G37" s="98" t="s">
        <v>63</v>
      </c>
    </row>
    <row r="38" spans="1:9" ht="25.35" customHeight="1" x14ac:dyDescent="0.25">
      <c r="A38" s="238"/>
      <c r="B38" s="41" t="s">
        <v>64</v>
      </c>
      <c r="C38" s="42">
        <f>(1-COUNTA(E40))*(D40*C35-C39)</f>
        <v>664.00375000000031</v>
      </c>
      <c r="D38" s="43">
        <f t="shared" si="2"/>
        <v>200.86113437500009</v>
      </c>
      <c r="E38" s="44" t="str">
        <f>IF(ROUNDUP((C38+C39)/C35,0)-D40=0,"OK","公設比有誤")</f>
        <v>OK</v>
      </c>
      <c r="F38" s="45">
        <f>C38/(C35*D40)</f>
        <v>0.20165322825558804</v>
      </c>
      <c r="G38" s="98" t="s">
        <v>65</v>
      </c>
    </row>
    <row r="39" spans="1:9" ht="25.35" customHeight="1" x14ac:dyDescent="0.25">
      <c r="A39" s="238"/>
      <c r="B39" s="28" t="s">
        <v>66</v>
      </c>
      <c r="C39" s="25">
        <f>C37+C32+C33+C34-C34</f>
        <v>2628.7962499999999</v>
      </c>
      <c r="D39" s="20">
        <f>C39*0.3025</f>
        <v>795.21086562499988</v>
      </c>
      <c r="E39" s="230"/>
      <c r="F39" s="230"/>
      <c r="G39" s="98" t="s">
        <v>67</v>
      </c>
    </row>
    <row r="40" spans="1:9" ht="25.35" customHeight="1" thickBot="1" x14ac:dyDescent="0.3">
      <c r="A40" s="239"/>
      <c r="B40" s="46" t="s">
        <v>68</v>
      </c>
      <c r="C40" s="85">
        <f>C39/C35</f>
        <v>3.1933870869776477</v>
      </c>
      <c r="D40" s="72">
        <f>ROUNDUP(C40,0)</f>
        <v>4</v>
      </c>
      <c r="E40" s="231"/>
      <c r="F40" s="231"/>
      <c r="G40" s="99" t="s">
        <v>69</v>
      </c>
    </row>
    <row r="41" spans="1:9" ht="47.25" customHeight="1" x14ac:dyDescent="0.25">
      <c r="A41" s="232" t="s">
        <v>70</v>
      </c>
      <c r="B41" s="233"/>
      <c r="C41" s="31">
        <f>C14+C23+C25+C26+C24+C27</f>
        <v>4913.4326891447372</v>
      </c>
      <c r="D41" s="31">
        <f>C41*0.3025</f>
        <v>1486.313388466283</v>
      </c>
      <c r="E41" s="234"/>
      <c r="F41" s="234"/>
      <c r="G41" s="100" t="s">
        <v>71</v>
      </c>
    </row>
    <row r="42" spans="1:9" ht="25.35" customHeight="1" x14ac:dyDescent="0.25">
      <c r="A42" s="235" t="s">
        <v>72</v>
      </c>
      <c r="B42" s="236"/>
      <c r="C42" s="19">
        <f>C35*E35</f>
        <v>3292.8</v>
      </c>
      <c r="D42" s="19">
        <f>C42*0.3025</f>
        <v>996.072</v>
      </c>
      <c r="E42" s="222"/>
      <c r="F42" s="222"/>
      <c r="G42" s="98" t="s">
        <v>73</v>
      </c>
    </row>
    <row r="43" spans="1:9" ht="25.35" customHeight="1" x14ac:dyDescent="0.25">
      <c r="A43" s="223" t="s">
        <v>74</v>
      </c>
      <c r="B43" s="224"/>
      <c r="C43" s="19">
        <f>C41+C42</f>
        <v>8206.2326891447374</v>
      </c>
      <c r="D43" s="73">
        <f>C43*0.3025</f>
        <v>2482.3853884662831</v>
      </c>
      <c r="E43" s="222"/>
      <c r="F43" s="222"/>
      <c r="G43" s="98" t="s">
        <v>75</v>
      </c>
    </row>
    <row r="44" spans="1:9" ht="44.25" customHeight="1" x14ac:dyDescent="0.25">
      <c r="A44" s="223" t="s">
        <v>76</v>
      </c>
      <c r="B44" s="224"/>
      <c r="C44" s="19">
        <f>C14+C23+C24+C25+C27+C28+C33+C36+C37</f>
        <v>6010.2080180921057</v>
      </c>
      <c r="D44" s="73">
        <f>C44*0.3025</f>
        <v>1818.087925472862</v>
      </c>
      <c r="E44" s="225">
        <f>D44*1.03</f>
        <v>1872.6305632370479</v>
      </c>
      <c r="F44" s="225"/>
      <c r="G44" s="98" t="s">
        <v>105</v>
      </c>
    </row>
    <row r="45" spans="1:9" ht="47.25" customHeight="1" x14ac:dyDescent="0.25">
      <c r="A45" s="223" t="s">
        <v>77</v>
      </c>
      <c r="B45" s="224"/>
      <c r="C45" s="48">
        <f>SUM(C24,C25,C26,C27,C33,C34,C36,C37)</f>
        <v>1627.4289391447371</v>
      </c>
      <c r="D45" s="49">
        <f>C45*0.3025</f>
        <v>492.29725409128298</v>
      </c>
      <c r="E45" s="226">
        <f>C45/(C44+C29)</f>
        <v>0.27077747296695931</v>
      </c>
      <c r="F45" s="226"/>
      <c r="G45" s="98" t="s">
        <v>78</v>
      </c>
    </row>
    <row r="46" spans="1:9" ht="25.35" customHeight="1" x14ac:dyDescent="0.25">
      <c r="A46" s="191" t="s">
        <v>79</v>
      </c>
      <c r="B46" s="192"/>
      <c r="C46" s="193">
        <f>E44/D23</f>
        <v>1.5728232267217666</v>
      </c>
      <c r="D46" s="194"/>
      <c r="E46" s="194"/>
      <c r="F46" s="195"/>
      <c r="G46" s="107" t="s">
        <v>80</v>
      </c>
    </row>
    <row r="47" spans="1:9" ht="25.35" customHeight="1" thickBot="1" x14ac:dyDescent="0.3">
      <c r="A47" s="198" t="s">
        <v>81</v>
      </c>
      <c r="B47" s="199"/>
      <c r="C47" s="200">
        <f>E44/E6</f>
        <v>6.0160488422107576</v>
      </c>
      <c r="D47" s="201"/>
      <c r="E47" s="201"/>
      <c r="F47" s="202"/>
      <c r="G47" s="99" t="s">
        <v>82</v>
      </c>
    </row>
    <row r="48" spans="1:9" ht="25.35" customHeight="1" x14ac:dyDescent="0.25">
      <c r="A48" s="203" t="s">
        <v>83</v>
      </c>
      <c r="B48" s="15" t="s">
        <v>84</v>
      </c>
      <c r="C48" s="50">
        <f>ROUND((C41-C27)/C16,2)</f>
        <v>12</v>
      </c>
      <c r="D48" s="51">
        <f>ROUNDUP(C48,0)</f>
        <v>12</v>
      </c>
      <c r="E48" s="206"/>
      <c r="F48" s="207"/>
      <c r="G48" s="97" t="s">
        <v>85</v>
      </c>
    </row>
    <row r="49" spans="1:7" ht="25.35" customHeight="1" x14ac:dyDescent="0.25">
      <c r="A49" s="204"/>
      <c r="B49" s="11" t="s">
        <v>86</v>
      </c>
      <c r="C49" s="52">
        <v>12</v>
      </c>
      <c r="D49" s="56">
        <f>C50/D50</f>
        <v>30.940242373771728</v>
      </c>
      <c r="E49" s="208"/>
      <c r="F49" s="209"/>
      <c r="G49" s="106"/>
    </row>
    <row r="50" spans="1:7" ht="25.35" customHeight="1" x14ac:dyDescent="0.25">
      <c r="A50" s="204"/>
      <c r="B50" s="11" t="s">
        <v>87</v>
      </c>
      <c r="C50" s="53">
        <f>[70]簡易投報表!C24/C49</f>
        <v>247.52193899017382</v>
      </c>
      <c r="D50" s="54">
        <v>8</v>
      </c>
      <c r="E50" s="210">
        <f>ROUND(C50/D50,1)</f>
        <v>30.9</v>
      </c>
      <c r="F50" s="210"/>
      <c r="G50" s="107"/>
    </row>
    <row r="51" spans="1:7" ht="25.35" customHeight="1" x14ac:dyDescent="0.25">
      <c r="A51" s="204"/>
      <c r="B51" s="11" t="s">
        <v>88</v>
      </c>
      <c r="C51" s="211">
        <f>(C49-1)*D50</f>
        <v>88</v>
      </c>
      <c r="D51" s="212"/>
      <c r="E51" s="212"/>
      <c r="F51" s="213"/>
      <c r="G51" s="98"/>
    </row>
    <row r="52" spans="1:7" ht="25.35" customHeight="1" x14ac:dyDescent="0.25">
      <c r="A52" s="204"/>
      <c r="B52" s="11" t="s">
        <v>90</v>
      </c>
      <c r="C52" s="214">
        <f>ROUNDDOWN(E30*F3,0)</f>
        <v>22</v>
      </c>
      <c r="D52" s="215"/>
      <c r="E52" s="215"/>
      <c r="F52" s="216"/>
      <c r="G52" s="98" t="s">
        <v>101</v>
      </c>
    </row>
    <row r="53" spans="1:7" ht="25.35" customHeight="1" x14ac:dyDescent="0.25">
      <c r="A53" s="204"/>
      <c r="B53" s="11" t="s">
        <v>92</v>
      </c>
      <c r="C53" s="217">
        <f>E30-C52</f>
        <v>34</v>
      </c>
      <c r="D53" s="218"/>
      <c r="E53" s="218"/>
      <c r="F53" s="219"/>
      <c r="G53" s="98"/>
    </row>
    <row r="54" spans="1:7" ht="25.35" customHeight="1" thickBot="1" x14ac:dyDescent="0.3">
      <c r="A54" s="205"/>
      <c r="B54" s="55" t="s">
        <v>93</v>
      </c>
      <c r="C54" s="220">
        <f>SUM(C52:F53)</f>
        <v>56</v>
      </c>
      <c r="D54" s="221"/>
      <c r="E54" s="196">
        <f>C54/C51</f>
        <v>0.63636363636363635</v>
      </c>
      <c r="F54" s="197"/>
      <c r="G54" s="99"/>
    </row>
    <row r="56" spans="1:7" x14ac:dyDescent="0.25">
      <c r="F56" s="68"/>
    </row>
  </sheetData>
  <mergeCells count="70">
    <mergeCell ref="A1:G1"/>
    <mergeCell ref="B3:D3"/>
    <mergeCell ref="A4:A11"/>
    <mergeCell ref="C4:F4"/>
    <mergeCell ref="C5:F5"/>
    <mergeCell ref="C6:D6"/>
    <mergeCell ref="E6:F6"/>
    <mergeCell ref="C7:D7"/>
    <mergeCell ref="E7:F7"/>
    <mergeCell ref="F8:F9"/>
    <mergeCell ref="C10:D10"/>
    <mergeCell ref="E10:F10"/>
    <mergeCell ref="C11:D11"/>
    <mergeCell ref="A12:B12"/>
    <mergeCell ref="E12:F12"/>
    <mergeCell ref="P15:S15"/>
    <mergeCell ref="E16:F16"/>
    <mergeCell ref="A17:A23"/>
    <mergeCell ref="E17:F17"/>
    <mergeCell ref="E18:F18"/>
    <mergeCell ref="E19:F19"/>
    <mergeCell ref="E20:F20"/>
    <mergeCell ref="E21:F21"/>
    <mergeCell ref="E22:F22"/>
    <mergeCell ref="E23:F23"/>
    <mergeCell ref="A13:A16"/>
    <mergeCell ref="E13:F13"/>
    <mergeCell ref="E14:F14"/>
    <mergeCell ref="E15:F15"/>
    <mergeCell ref="A41:B41"/>
    <mergeCell ref="E41:F41"/>
    <mergeCell ref="A42:B42"/>
    <mergeCell ref="A24:A29"/>
    <mergeCell ref="E24:F24"/>
    <mergeCell ref="E25:F25"/>
    <mergeCell ref="E26:F26"/>
    <mergeCell ref="E27:F27"/>
    <mergeCell ref="E28:F28"/>
    <mergeCell ref="E29:F29"/>
    <mergeCell ref="A30:A40"/>
    <mergeCell ref="E30:F30"/>
    <mergeCell ref="E31:F31"/>
    <mergeCell ref="E32:F32"/>
    <mergeCell ref="E33:F33"/>
    <mergeCell ref="E34:F34"/>
    <mergeCell ref="E35:F35"/>
    <mergeCell ref="E36:F36"/>
    <mergeCell ref="E37:F37"/>
    <mergeCell ref="E39:F39"/>
    <mergeCell ref="E40:F40"/>
    <mergeCell ref="E42:F42"/>
    <mergeCell ref="A44:B44"/>
    <mergeCell ref="E44:F44"/>
    <mergeCell ref="A45:B45"/>
    <mergeCell ref="E45:F45"/>
    <mergeCell ref="A43:B43"/>
    <mergeCell ref="E43:F43"/>
    <mergeCell ref="A46:B46"/>
    <mergeCell ref="C46:F46"/>
    <mergeCell ref="E54:F54"/>
    <mergeCell ref="A47:B47"/>
    <mergeCell ref="C47:F47"/>
    <mergeCell ref="A48:A54"/>
    <mergeCell ref="E48:F48"/>
    <mergeCell ref="E49:F49"/>
    <mergeCell ref="E50:F50"/>
    <mergeCell ref="C51:F51"/>
    <mergeCell ref="C52:F52"/>
    <mergeCell ref="C53:F53"/>
    <mergeCell ref="C54:D54"/>
  </mergeCells>
  <phoneticPr fontId="1" type="noConversion"/>
  <pageMargins left="0.31496062992125984" right="0" top="1.0236220472440944" bottom="0.59055118110236227" header="0.70866141732283472" footer="0.51181102362204722"/>
  <pageSetup paperSize="9" scale="52" orientation="portrait" horizontalDpi="300" verticalDpi="300" r:id="rId1"/>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CCC0A-6E83-40AE-A181-3E3D91996397}">
  <sheetPr>
    <pageSetUpPr fitToPage="1"/>
  </sheetPr>
  <dimension ref="A1:S56"/>
  <sheetViews>
    <sheetView topLeftCell="A37" zoomScale="80" zoomScaleNormal="80" zoomScaleSheetLayoutView="50" zoomScalePageLayoutView="30" workbookViewId="0">
      <selection activeCell="E11" sqref="E11"/>
    </sheetView>
  </sheetViews>
  <sheetFormatPr defaultColWidth="10" defaultRowHeight="15.75" x14ac:dyDescent="0.25"/>
  <cols>
    <col min="1" max="1" width="3.875" style="2" customWidth="1"/>
    <col min="2" max="2" width="21.75" style="23" customWidth="1"/>
    <col min="3" max="3" width="13.25" style="2" customWidth="1"/>
    <col min="4" max="4" width="17.375" style="2" customWidth="1"/>
    <col min="5" max="5" width="14.75" style="2" customWidth="1"/>
    <col min="6" max="6" width="20.375" style="2" customWidth="1"/>
    <col min="7" max="7" width="78.75" style="108" customWidth="1"/>
    <col min="8" max="8" width="3.375" style="2" customWidth="1"/>
    <col min="9" max="9" width="13" style="2" bestFit="1" customWidth="1"/>
    <col min="10" max="10" width="12.125" style="2" bestFit="1" customWidth="1"/>
    <col min="11" max="11" width="11.125" style="2" bestFit="1" customWidth="1"/>
    <col min="12" max="13" width="13.125" style="2" customWidth="1"/>
    <col min="14" max="16384" width="10" style="2"/>
  </cols>
  <sheetData>
    <row r="1" spans="1:19" ht="32.65" customHeight="1" x14ac:dyDescent="0.25">
      <c r="A1" s="263" t="s">
        <v>0</v>
      </c>
      <c r="B1" s="263"/>
      <c r="C1" s="263"/>
      <c r="D1" s="263"/>
      <c r="E1" s="263"/>
      <c r="F1" s="263"/>
      <c r="G1" s="263"/>
    </row>
    <row r="2" spans="1:19" ht="32.65" customHeight="1" thickBot="1" x14ac:dyDescent="0.3">
      <c r="A2" s="1"/>
      <c r="B2" s="1"/>
      <c r="C2" s="1"/>
      <c r="D2" s="1"/>
      <c r="E2" s="69" t="s">
        <v>1</v>
      </c>
      <c r="F2" s="69" t="s">
        <v>2</v>
      </c>
      <c r="G2" s="88"/>
      <c r="I2" s="3"/>
      <c r="J2" s="4"/>
      <c r="K2" s="5"/>
      <c r="L2" s="57"/>
      <c r="M2" s="57"/>
    </row>
    <row r="3" spans="1:19" s="8" customFormat="1" ht="42" customHeight="1" thickBot="1" x14ac:dyDescent="0.3">
      <c r="A3" s="6"/>
      <c r="B3" s="264" t="s">
        <v>95</v>
      </c>
      <c r="C3" s="283"/>
      <c r="D3" s="283"/>
      <c r="E3" s="113">
        <f>1-F3</f>
        <v>0</v>
      </c>
      <c r="F3" s="7">
        <v>1</v>
      </c>
      <c r="G3" s="89" t="s">
        <v>3</v>
      </c>
      <c r="I3" s="58"/>
      <c r="J3" s="86" t="s">
        <v>104</v>
      </c>
      <c r="K3" s="59"/>
      <c r="L3" s="81"/>
      <c r="M3" s="81"/>
      <c r="N3" s="82"/>
    </row>
    <row r="4" spans="1:19" ht="25.35" customHeight="1" x14ac:dyDescent="0.25">
      <c r="A4" s="237" t="s">
        <v>4</v>
      </c>
      <c r="B4" s="9" t="s">
        <v>5</v>
      </c>
      <c r="C4" s="266"/>
      <c r="D4" s="266"/>
      <c r="E4" s="266"/>
      <c r="F4" s="266"/>
      <c r="G4" s="90"/>
      <c r="H4" s="10"/>
      <c r="I4" s="58"/>
      <c r="J4" s="59"/>
      <c r="K4" s="59"/>
      <c r="L4" s="81"/>
      <c r="M4" s="81"/>
    </row>
    <row r="5" spans="1:19" ht="25.35" customHeight="1" x14ac:dyDescent="0.25">
      <c r="A5" s="238"/>
      <c r="B5" s="11" t="s">
        <v>6</v>
      </c>
      <c r="C5" s="266"/>
      <c r="D5" s="266"/>
      <c r="E5" s="266"/>
      <c r="F5" s="266"/>
      <c r="G5" s="91"/>
      <c r="H5" s="10"/>
      <c r="I5" s="58"/>
      <c r="J5" s="59"/>
      <c r="K5" s="59"/>
      <c r="L5" s="81"/>
      <c r="M5" s="81"/>
    </row>
    <row r="6" spans="1:19" ht="25.35" customHeight="1" x14ac:dyDescent="0.25">
      <c r="A6" s="238"/>
      <c r="B6" s="11" t="s">
        <v>7</v>
      </c>
      <c r="C6" s="267">
        <v>643.54999999999995</v>
      </c>
      <c r="D6" s="267"/>
      <c r="E6" s="268">
        <f>C6*0.3025</f>
        <v>194.67387499999998</v>
      </c>
      <c r="F6" s="268"/>
      <c r="G6" s="92"/>
      <c r="H6" s="10"/>
      <c r="I6" s="58"/>
      <c r="J6" s="59"/>
      <c r="K6" s="59"/>
      <c r="L6" s="83"/>
      <c r="M6" s="83"/>
    </row>
    <row r="7" spans="1:19" ht="25.35" customHeight="1" x14ac:dyDescent="0.25">
      <c r="A7" s="238"/>
      <c r="B7" s="11" t="s">
        <v>8</v>
      </c>
      <c r="C7" s="269">
        <f>(C8*D8+C9*D9)/C6</f>
        <v>0.5</v>
      </c>
      <c r="D7" s="269"/>
      <c r="E7" s="270">
        <f>(C8*E8+C9*E9)/C6</f>
        <v>2</v>
      </c>
      <c r="F7" s="270"/>
      <c r="G7" s="92"/>
      <c r="H7" s="10"/>
      <c r="I7" s="14"/>
      <c r="J7" s="3"/>
      <c r="K7" s="3"/>
      <c r="L7" s="84"/>
      <c r="M7" s="84"/>
    </row>
    <row r="8" spans="1:19" ht="25.35" customHeight="1" x14ac:dyDescent="0.25">
      <c r="A8" s="238"/>
      <c r="B8" s="11" t="s">
        <v>9</v>
      </c>
      <c r="C8" s="87">
        <f>C6-C9</f>
        <v>0</v>
      </c>
      <c r="D8" s="79">
        <v>0</v>
      </c>
      <c r="E8" s="80">
        <v>0</v>
      </c>
      <c r="F8" s="271">
        <v>0.67769999999999997</v>
      </c>
      <c r="G8" s="92"/>
      <c r="H8" s="10"/>
      <c r="I8" s="14"/>
      <c r="J8" s="3"/>
      <c r="K8" s="3"/>
      <c r="L8" s="84"/>
      <c r="M8" s="84"/>
    </row>
    <row r="9" spans="1:19" ht="25.35" customHeight="1" x14ac:dyDescent="0.25">
      <c r="A9" s="238"/>
      <c r="B9" s="11" t="s">
        <v>10</v>
      </c>
      <c r="C9" s="78">
        <v>643.54999999999995</v>
      </c>
      <c r="D9" s="79">
        <v>0.5</v>
      </c>
      <c r="E9" s="80">
        <v>2</v>
      </c>
      <c r="F9" s="271"/>
      <c r="G9" s="93" t="s">
        <v>11</v>
      </c>
      <c r="H9" s="10"/>
      <c r="I9" s="14"/>
      <c r="J9" s="3"/>
      <c r="K9" s="3"/>
      <c r="L9" s="84"/>
      <c r="M9" s="84"/>
    </row>
    <row r="10" spans="1:19" ht="25.35" customHeight="1" x14ac:dyDescent="0.25">
      <c r="A10" s="238"/>
      <c r="B10" s="11" t="s">
        <v>12</v>
      </c>
      <c r="C10" s="284">
        <v>6</v>
      </c>
      <c r="D10" s="284"/>
      <c r="E10" s="273" t="s">
        <v>13</v>
      </c>
      <c r="F10" s="274"/>
      <c r="G10" s="94"/>
      <c r="I10" s="14"/>
      <c r="J10" s="3"/>
      <c r="K10" s="3"/>
      <c r="L10" s="84"/>
      <c r="M10" s="84"/>
    </row>
    <row r="11" spans="1:19" ht="25.35" customHeight="1" thickBot="1" x14ac:dyDescent="0.3">
      <c r="A11" s="239"/>
      <c r="B11" s="12" t="s">
        <v>14</v>
      </c>
      <c r="C11" s="275" t="str">
        <f>C49&amp;"F/B"&amp;E35</f>
        <v>11F/B2</v>
      </c>
      <c r="D11" s="275"/>
      <c r="E11" s="47" t="s">
        <v>15</v>
      </c>
      <c r="F11" s="47" t="s">
        <v>16</v>
      </c>
      <c r="G11" s="95" t="s">
        <v>17</v>
      </c>
      <c r="I11" s="14"/>
      <c r="J11" s="59"/>
      <c r="K11" s="59"/>
      <c r="L11" s="74"/>
      <c r="M11" s="74"/>
    </row>
    <row r="12" spans="1:19" s="14" customFormat="1" ht="25.35" customHeight="1" x14ac:dyDescent="0.25">
      <c r="A12" s="249" t="s">
        <v>18</v>
      </c>
      <c r="B12" s="250"/>
      <c r="C12" s="13" t="s">
        <v>19</v>
      </c>
      <c r="D12" s="13" t="s">
        <v>20</v>
      </c>
      <c r="E12" s="251" t="s">
        <v>21</v>
      </c>
      <c r="F12" s="250"/>
      <c r="G12" s="96" t="s">
        <v>22</v>
      </c>
      <c r="I12" s="2"/>
      <c r="J12" s="65"/>
      <c r="K12" s="66"/>
      <c r="L12" s="74"/>
      <c r="M12" s="74"/>
    </row>
    <row r="13" spans="1:19" ht="25.35" customHeight="1" x14ac:dyDescent="0.25">
      <c r="A13" s="259" t="s">
        <v>23</v>
      </c>
      <c r="B13" s="15" t="s">
        <v>24</v>
      </c>
      <c r="C13" s="16">
        <f>C6</f>
        <v>643.54999999999995</v>
      </c>
      <c r="D13" s="16">
        <f t="shared" ref="D13:D29" si="0">C13*0.3025</f>
        <v>194.67387499999998</v>
      </c>
      <c r="E13" s="261"/>
      <c r="F13" s="261"/>
      <c r="G13" s="97"/>
      <c r="J13" s="17"/>
      <c r="K13" s="18"/>
      <c r="L13" s="75"/>
      <c r="M13" s="75"/>
    </row>
    <row r="14" spans="1:19" ht="25.35" customHeight="1" x14ac:dyDescent="0.25">
      <c r="A14" s="259"/>
      <c r="B14" s="11" t="s">
        <v>25</v>
      </c>
      <c r="C14" s="19">
        <v>0</v>
      </c>
      <c r="D14" s="19">
        <f t="shared" si="0"/>
        <v>0</v>
      </c>
      <c r="E14" s="222"/>
      <c r="F14" s="222"/>
      <c r="G14" s="98"/>
      <c r="J14" s="17"/>
      <c r="K14" s="18"/>
      <c r="L14" s="21"/>
      <c r="M14" s="21"/>
    </row>
    <row r="15" spans="1:19" ht="25.35" customHeight="1" x14ac:dyDescent="0.25">
      <c r="A15" s="259"/>
      <c r="B15" s="11" t="s">
        <v>26</v>
      </c>
      <c r="C15" s="19">
        <f>MIN((C6*C7),C13*E15)</f>
        <v>321.77499999999998</v>
      </c>
      <c r="D15" s="19">
        <f>C15*0.3025</f>
        <v>97.336937499999991</v>
      </c>
      <c r="E15" s="282">
        <f>C7</f>
        <v>0.5</v>
      </c>
      <c r="F15" s="282"/>
      <c r="G15" s="98"/>
      <c r="J15" s="17"/>
      <c r="K15" s="18"/>
      <c r="L15" s="21"/>
      <c r="M15" s="21"/>
      <c r="P15" s="252"/>
      <c r="Q15" s="252"/>
      <c r="R15" s="252"/>
      <c r="S15" s="252"/>
    </row>
    <row r="16" spans="1:19" ht="25.35" customHeight="1" thickBot="1" x14ac:dyDescent="0.3">
      <c r="A16" s="260"/>
      <c r="B16" s="12" t="s">
        <v>27</v>
      </c>
      <c r="C16" s="22">
        <f>(C14+C23+C24+25+C26)/C49</f>
        <v>224.29747727272726</v>
      </c>
      <c r="D16" s="22">
        <f>C16*0.3025</f>
        <v>67.849986874999999</v>
      </c>
      <c r="E16" s="280">
        <f>C16/C13</f>
        <v>0.34853154731213937</v>
      </c>
      <c r="F16" s="280"/>
      <c r="G16" s="99" t="s">
        <v>108</v>
      </c>
      <c r="J16" s="17"/>
      <c r="K16" s="18"/>
      <c r="L16" s="21"/>
      <c r="M16" s="21"/>
    </row>
    <row r="17" spans="1:13" ht="25.35" customHeight="1" x14ac:dyDescent="0.25">
      <c r="A17" s="237" t="s">
        <v>28</v>
      </c>
      <c r="B17" s="70" t="s">
        <v>29</v>
      </c>
      <c r="C17" s="71">
        <f>C6*E7</f>
        <v>1287.0999999999999</v>
      </c>
      <c r="D17" s="71">
        <f>C17*0.3025</f>
        <v>389.34774999999996</v>
      </c>
      <c r="E17" s="281"/>
      <c r="F17" s="281"/>
      <c r="G17" s="100"/>
      <c r="I17" s="23"/>
      <c r="J17" s="17"/>
      <c r="K17" s="18"/>
      <c r="L17" s="21"/>
      <c r="M17" s="21"/>
    </row>
    <row r="18" spans="1:13" ht="25.35" customHeight="1" x14ac:dyDescent="0.25">
      <c r="A18" s="254"/>
      <c r="B18" s="76" t="s">
        <v>30</v>
      </c>
      <c r="C18" s="19">
        <f>$C$17*E18</f>
        <v>193.06499999999997</v>
      </c>
      <c r="D18" s="19">
        <f>C18*0.3025</f>
        <v>58.402162499999989</v>
      </c>
      <c r="E18" s="256">
        <v>0.15</v>
      </c>
      <c r="F18" s="256"/>
      <c r="G18" s="109" t="s">
        <v>31</v>
      </c>
      <c r="J18" s="17"/>
      <c r="K18" s="17"/>
    </row>
    <row r="19" spans="1:13" ht="34.9" customHeight="1" x14ac:dyDescent="0.25">
      <c r="A19" s="238"/>
      <c r="B19" s="15" t="s">
        <v>94</v>
      </c>
      <c r="C19" s="16">
        <f>$C$17*E19</f>
        <v>643.54999999999995</v>
      </c>
      <c r="D19" s="16">
        <f>C19*0.3025</f>
        <v>194.67387499999998</v>
      </c>
      <c r="E19" s="256">
        <v>0.5</v>
      </c>
      <c r="F19" s="256"/>
      <c r="G19" s="110" t="s">
        <v>32</v>
      </c>
    </row>
    <row r="20" spans="1:13" ht="25.35" customHeight="1" x14ac:dyDescent="0.25">
      <c r="A20" s="238"/>
      <c r="B20" s="11" t="s">
        <v>33</v>
      </c>
      <c r="C20" s="19">
        <f>$C$17*E20</f>
        <v>0</v>
      </c>
      <c r="D20" s="19">
        <f t="shared" si="0"/>
        <v>0</v>
      </c>
      <c r="E20" s="257">
        <v>0</v>
      </c>
      <c r="F20" s="257"/>
      <c r="G20" s="92" t="s">
        <v>34</v>
      </c>
      <c r="J20" s="77"/>
    </row>
    <row r="21" spans="1:13" ht="25.35" customHeight="1" x14ac:dyDescent="0.25">
      <c r="A21" s="238"/>
      <c r="B21" s="11" t="s">
        <v>35</v>
      </c>
      <c r="C21" s="19">
        <f>$C$17*E21</f>
        <v>0</v>
      </c>
      <c r="D21" s="19">
        <f t="shared" si="0"/>
        <v>0</v>
      </c>
      <c r="E21" s="257">
        <v>0</v>
      </c>
      <c r="F21" s="257"/>
      <c r="G21" s="93"/>
      <c r="J21" s="30"/>
    </row>
    <row r="22" spans="1:13" ht="25.35" customHeight="1" x14ac:dyDescent="0.25">
      <c r="A22" s="238"/>
      <c r="B22" s="11" t="s">
        <v>36</v>
      </c>
      <c r="C22" s="19">
        <f>$C$17*E22</f>
        <v>643.54999999999995</v>
      </c>
      <c r="D22" s="19">
        <f t="shared" si="0"/>
        <v>194.67387499999998</v>
      </c>
      <c r="E22" s="257">
        <f>E19+E20+E21</f>
        <v>0.5</v>
      </c>
      <c r="F22" s="257"/>
      <c r="G22" s="92" t="s">
        <v>37</v>
      </c>
      <c r="J22" s="30"/>
    </row>
    <row r="23" spans="1:13" ht="36.75" customHeight="1" thickBot="1" x14ac:dyDescent="0.3">
      <c r="A23" s="239"/>
      <c r="B23" s="55" t="s">
        <v>28</v>
      </c>
      <c r="C23" s="22">
        <f>C17+C18+C22</f>
        <v>2123.7150000000001</v>
      </c>
      <c r="D23" s="22">
        <f>C23*0.3025</f>
        <v>642.4237875</v>
      </c>
      <c r="E23" s="258">
        <f>E18+E22</f>
        <v>0.65</v>
      </c>
      <c r="F23" s="258"/>
      <c r="G23" s="99" t="s">
        <v>38</v>
      </c>
      <c r="J23" s="30"/>
    </row>
    <row r="24" spans="1:13" ht="25.35" customHeight="1" x14ac:dyDescent="0.25">
      <c r="A24" s="237" t="s">
        <v>39</v>
      </c>
      <c r="B24" s="9" t="s">
        <v>40</v>
      </c>
      <c r="C24" s="31">
        <f>(C23)*E24</f>
        <v>318.55725000000001</v>
      </c>
      <c r="D24" s="31">
        <f>C24*0.3025</f>
        <v>96.363568125</v>
      </c>
      <c r="E24" s="240">
        <v>0.15</v>
      </c>
      <c r="F24" s="240"/>
      <c r="G24" s="100" t="s">
        <v>41</v>
      </c>
      <c r="J24" s="30"/>
    </row>
    <row r="25" spans="1:13" ht="25.35" customHeight="1" x14ac:dyDescent="0.25">
      <c r="A25" s="238"/>
      <c r="B25" s="11" t="s">
        <v>42</v>
      </c>
      <c r="C25" s="19">
        <f>(C23+C24)/0.95*E25</f>
        <v>128.54064473684213</v>
      </c>
      <c r="D25" s="19">
        <f>C25*0.3025</f>
        <v>38.883545032894745</v>
      </c>
      <c r="E25" s="278">
        <v>0.05</v>
      </c>
      <c r="F25" s="278"/>
      <c r="G25" s="98" t="s">
        <v>43</v>
      </c>
      <c r="J25" s="30"/>
    </row>
    <row r="26" spans="1:13" ht="25.35" customHeight="1" x14ac:dyDescent="0.25">
      <c r="A26" s="238"/>
      <c r="B26" s="11" t="s">
        <v>44</v>
      </c>
      <c r="C26" s="19">
        <v>0</v>
      </c>
      <c r="D26" s="19">
        <f t="shared" si="0"/>
        <v>0</v>
      </c>
      <c r="E26" s="222"/>
      <c r="F26" s="222"/>
      <c r="G26" s="98"/>
      <c r="J26" s="30"/>
    </row>
    <row r="27" spans="1:13" ht="25.35" customHeight="1" x14ac:dyDescent="0.25">
      <c r="A27" s="238"/>
      <c r="B27" s="11" t="s">
        <v>45</v>
      </c>
      <c r="C27" s="19">
        <f>C13*E16*1/8*E27</f>
        <v>84.11155397727272</v>
      </c>
      <c r="D27" s="19">
        <f>C27*0.3025</f>
        <v>25.443745078124998</v>
      </c>
      <c r="E27" s="241">
        <v>3</v>
      </c>
      <c r="F27" s="241"/>
      <c r="G27" s="98" t="s">
        <v>46</v>
      </c>
      <c r="J27" s="30"/>
    </row>
    <row r="28" spans="1:13" ht="25.35" customHeight="1" x14ac:dyDescent="0.25">
      <c r="A28" s="238"/>
      <c r="B28" s="11" t="s">
        <v>47</v>
      </c>
      <c r="C28" s="19">
        <f>(C23+C24)/0.95*E28</f>
        <v>257.08128947368425</v>
      </c>
      <c r="D28" s="19">
        <f>C28*0.3025</f>
        <v>77.767090065789489</v>
      </c>
      <c r="E28" s="278">
        <v>0.1</v>
      </c>
      <c r="F28" s="278"/>
      <c r="G28" s="98" t="s">
        <v>48</v>
      </c>
      <c r="J28" s="30"/>
    </row>
    <row r="29" spans="1:13" ht="25.35" customHeight="1" thickBot="1" x14ac:dyDescent="0.3">
      <c r="A29" s="239"/>
      <c r="B29" s="12" t="s">
        <v>49</v>
      </c>
      <c r="C29" s="22">
        <f>C23*E29</f>
        <v>0</v>
      </c>
      <c r="D29" s="22">
        <f t="shared" si="0"/>
        <v>0</v>
      </c>
      <c r="E29" s="242">
        <v>0</v>
      </c>
      <c r="F29" s="242"/>
      <c r="G29" s="104" t="s">
        <v>50</v>
      </c>
      <c r="J29" s="30"/>
    </row>
    <row r="30" spans="1:13" ht="24" customHeight="1" x14ac:dyDescent="0.25">
      <c r="A30" s="237" t="s">
        <v>51</v>
      </c>
      <c r="B30" s="32" t="s">
        <v>52</v>
      </c>
      <c r="C30" s="33">
        <f>ROUNDUP((C23+C24+C25)/150,0)</f>
        <v>18</v>
      </c>
      <c r="D30" s="34">
        <v>4</v>
      </c>
      <c r="E30" s="243">
        <f>C30+D30</f>
        <v>22</v>
      </c>
      <c r="F30" s="243"/>
      <c r="G30" s="111" t="s">
        <v>109</v>
      </c>
      <c r="H30" s="35"/>
      <c r="J30" s="36"/>
    </row>
    <row r="31" spans="1:13" ht="25.35" customHeight="1" x14ac:dyDescent="0.25">
      <c r="A31" s="238"/>
      <c r="B31" s="28" t="s">
        <v>53</v>
      </c>
      <c r="C31" s="37">
        <f>E30+7</f>
        <v>29</v>
      </c>
      <c r="D31" s="38">
        <f>C31*0.25-2</f>
        <v>5.25</v>
      </c>
      <c r="E31" s="244">
        <f>SUM(C31:D31)</f>
        <v>34.25</v>
      </c>
      <c r="F31" s="244"/>
      <c r="G31" s="98" t="s">
        <v>54</v>
      </c>
      <c r="H31" s="35"/>
    </row>
    <row r="32" spans="1:13" ht="25.35" customHeight="1" x14ac:dyDescent="0.25">
      <c r="A32" s="238"/>
      <c r="B32" s="28" t="s">
        <v>55</v>
      </c>
      <c r="C32" s="25">
        <f>E30*E32</f>
        <v>550</v>
      </c>
      <c r="D32" s="19">
        <f>C32*0.3025</f>
        <v>166.375</v>
      </c>
      <c r="E32" s="245">
        <v>25</v>
      </c>
      <c r="F32" s="245"/>
      <c r="G32" s="98" t="s">
        <v>110</v>
      </c>
      <c r="H32" s="35"/>
    </row>
    <row r="33" spans="1:9" ht="25.35" customHeight="1" x14ac:dyDescent="0.25">
      <c r="A33" s="238"/>
      <c r="B33" s="28" t="s">
        <v>56</v>
      </c>
      <c r="C33" s="25">
        <f>C31*E33</f>
        <v>116</v>
      </c>
      <c r="D33" s="19">
        <f>C33*0.3025</f>
        <v>35.089999999999996</v>
      </c>
      <c r="E33" s="246">
        <v>4</v>
      </c>
      <c r="F33" s="246"/>
      <c r="G33" s="98" t="s">
        <v>57</v>
      </c>
    </row>
    <row r="34" spans="1:9" ht="25.35" customHeight="1" x14ac:dyDescent="0.25">
      <c r="A34" s="238"/>
      <c r="B34" s="28" t="s">
        <v>58</v>
      </c>
      <c r="C34" s="25">
        <f>D31*E34</f>
        <v>7.77</v>
      </c>
      <c r="D34" s="19">
        <f>C34*0.3025</f>
        <v>2.350425</v>
      </c>
      <c r="E34" s="247">
        <v>1.48</v>
      </c>
      <c r="F34" s="279"/>
      <c r="G34" s="98" t="s">
        <v>107</v>
      </c>
    </row>
    <row r="35" spans="1:9" ht="25.35" customHeight="1" x14ac:dyDescent="0.25">
      <c r="A35" s="238"/>
      <c r="B35" s="28" t="s">
        <v>59</v>
      </c>
      <c r="C35" s="25">
        <f>C13*F8</f>
        <v>436.13383499999998</v>
      </c>
      <c r="D35" s="19">
        <f>C35*0.3025</f>
        <v>131.93048508749999</v>
      </c>
      <c r="E35" s="227">
        <f>D40</f>
        <v>2</v>
      </c>
      <c r="F35" s="227"/>
      <c r="G35" s="98" t="s">
        <v>60</v>
      </c>
      <c r="I35" s="39"/>
    </row>
    <row r="36" spans="1:9" ht="25.35" customHeight="1" x14ac:dyDescent="0.25">
      <c r="A36" s="238"/>
      <c r="B36" s="28" t="s">
        <v>61</v>
      </c>
      <c r="C36" s="25">
        <f>C13*C7/8*E35</f>
        <v>80.443749999999994</v>
      </c>
      <c r="D36" s="19">
        <f t="shared" ref="D36:D38" si="1">C36*0.3025</f>
        <v>24.334234374999998</v>
      </c>
      <c r="E36" s="277"/>
      <c r="F36" s="277"/>
      <c r="G36" s="106"/>
      <c r="I36" s="40"/>
    </row>
    <row r="37" spans="1:9" ht="25.35" customHeight="1" x14ac:dyDescent="0.25">
      <c r="A37" s="238"/>
      <c r="B37" s="28" t="s">
        <v>62</v>
      </c>
      <c r="C37" s="25">
        <f>C23*E37</f>
        <v>106.18575000000001</v>
      </c>
      <c r="D37" s="19">
        <f t="shared" si="1"/>
        <v>32.121189375</v>
      </c>
      <c r="E37" s="229">
        <v>0.05</v>
      </c>
      <c r="F37" s="229"/>
      <c r="G37" s="98" t="s">
        <v>63</v>
      </c>
    </row>
    <row r="38" spans="1:9" ht="25.35" customHeight="1" x14ac:dyDescent="0.25">
      <c r="A38" s="238"/>
      <c r="B38" s="41" t="s">
        <v>64</v>
      </c>
      <c r="C38" s="42">
        <f>(1-COUNTA(E40))*(D40*C35-C39)</f>
        <v>100.08191999999997</v>
      </c>
      <c r="D38" s="43">
        <f t="shared" si="1"/>
        <v>30.274780799999988</v>
      </c>
      <c r="E38" s="44" t="str">
        <f>IF(ROUNDUP((C38+C39)/C35,0)-D40=0,"OK","公設比有誤")</f>
        <v>OK</v>
      </c>
      <c r="F38" s="45">
        <f>C38/(C35*D40)</f>
        <v>0.11473762405982556</v>
      </c>
      <c r="G38" s="98" t="s">
        <v>65</v>
      </c>
    </row>
    <row r="39" spans="1:9" ht="25.35" customHeight="1" x14ac:dyDescent="0.25">
      <c r="A39" s="238"/>
      <c r="B39" s="28" t="s">
        <v>66</v>
      </c>
      <c r="C39" s="25">
        <f>C37+C32+C33+C34-C34</f>
        <v>772.18574999999998</v>
      </c>
      <c r="D39" s="20">
        <f>C39*0.3025</f>
        <v>233.58618937499998</v>
      </c>
      <c r="E39" s="230"/>
      <c r="F39" s="230"/>
      <c r="G39" s="98" t="s">
        <v>67</v>
      </c>
    </row>
    <row r="40" spans="1:9" ht="25.35" customHeight="1" thickBot="1" x14ac:dyDescent="0.3">
      <c r="A40" s="239"/>
      <c r="B40" s="46" t="s">
        <v>68</v>
      </c>
      <c r="C40" s="85">
        <f>C39/C35</f>
        <v>1.7705247518803489</v>
      </c>
      <c r="D40" s="72">
        <f>ROUNDUP(C40,0)</f>
        <v>2</v>
      </c>
      <c r="E40" s="231"/>
      <c r="F40" s="231"/>
      <c r="G40" s="99" t="s">
        <v>69</v>
      </c>
    </row>
    <row r="41" spans="1:9" ht="47.25" customHeight="1" x14ac:dyDescent="0.25">
      <c r="A41" s="232" t="s">
        <v>70</v>
      </c>
      <c r="B41" s="233"/>
      <c r="C41" s="31">
        <f>C14+C23+C25+C26+C24+C27</f>
        <v>2654.924448714115</v>
      </c>
      <c r="D41" s="31">
        <f>C41*0.3025</f>
        <v>803.11464573601972</v>
      </c>
      <c r="E41" s="234"/>
      <c r="F41" s="234"/>
      <c r="G41" s="100" t="s">
        <v>71</v>
      </c>
    </row>
    <row r="42" spans="1:9" ht="25.35" customHeight="1" x14ac:dyDescent="0.25">
      <c r="A42" s="235" t="s">
        <v>72</v>
      </c>
      <c r="B42" s="236"/>
      <c r="C42" s="19">
        <f>C35*E35</f>
        <v>872.26766999999995</v>
      </c>
      <c r="D42" s="19">
        <f>C42*0.3025</f>
        <v>263.86097017499998</v>
      </c>
      <c r="E42" s="222"/>
      <c r="F42" s="222"/>
      <c r="G42" s="98" t="s">
        <v>73</v>
      </c>
    </row>
    <row r="43" spans="1:9" ht="25.35" customHeight="1" x14ac:dyDescent="0.25">
      <c r="A43" s="223" t="s">
        <v>74</v>
      </c>
      <c r="B43" s="224"/>
      <c r="C43" s="19">
        <f>C41+C42</f>
        <v>3527.1921187141152</v>
      </c>
      <c r="D43" s="73">
        <f>C43*0.3025</f>
        <v>1066.9756159110198</v>
      </c>
      <c r="E43" s="222"/>
      <c r="F43" s="222"/>
      <c r="G43" s="98" t="s">
        <v>75</v>
      </c>
    </row>
    <row r="44" spans="1:9" ht="44.25" customHeight="1" x14ac:dyDescent="0.25">
      <c r="A44" s="223" t="s">
        <v>76</v>
      </c>
      <c r="B44" s="224"/>
      <c r="C44" s="19">
        <f>C14+C23+C24+C25+C27+C28+C33+C36+C37</f>
        <v>3214.6352381877991</v>
      </c>
      <c r="D44" s="73">
        <f>C44*0.3025</f>
        <v>972.42715955180915</v>
      </c>
      <c r="E44" s="225">
        <f>D44*1.03</f>
        <v>1001.5999743383635</v>
      </c>
      <c r="F44" s="225"/>
      <c r="G44" s="98" t="s">
        <v>105</v>
      </c>
    </row>
    <row r="45" spans="1:9" ht="47.25" customHeight="1" x14ac:dyDescent="0.25">
      <c r="A45" s="223" t="s">
        <v>77</v>
      </c>
      <c r="B45" s="224"/>
      <c r="C45" s="48">
        <f>SUM(C24,C25,C26,C27,C33,C34,C36,C37)</f>
        <v>841.60894871411483</v>
      </c>
      <c r="D45" s="49">
        <f>C45*0.3025</f>
        <v>254.58670698601972</v>
      </c>
      <c r="E45" s="226">
        <f>C45/(C44+C29)</f>
        <v>0.26180542623198483</v>
      </c>
      <c r="F45" s="226"/>
      <c r="G45" s="98" t="s">
        <v>78</v>
      </c>
    </row>
    <row r="46" spans="1:9" ht="25.35" customHeight="1" x14ac:dyDescent="0.25">
      <c r="A46" s="191" t="s">
        <v>79</v>
      </c>
      <c r="B46" s="192"/>
      <c r="C46" s="193">
        <f>E44/D23</f>
        <v>1.5590954037304596</v>
      </c>
      <c r="D46" s="194"/>
      <c r="E46" s="194"/>
      <c r="F46" s="195"/>
      <c r="G46" s="107" t="s">
        <v>80</v>
      </c>
    </row>
    <row r="47" spans="1:9" ht="25.35" customHeight="1" thickBot="1" x14ac:dyDescent="0.3">
      <c r="A47" s="198" t="s">
        <v>81</v>
      </c>
      <c r="B47" s="199"/>
      <c r="C47" s="200">
        <f>E44/E6</f>
        <v>5.1450148323105171</v>
      </c>
      <c r="D47" s="201"/>
      <c r="E47" s="201"/>
      <c r="F47" s="202"/>
      <c r="G47" s="99" t="s">
        <v>82</v>
      </c>
    </row>
    <row r="48" spans="1:9" ht="25.35" customHeight="1" x14ac:dyDescent="0.25">
      <c r="A48" s="203" t="s">
        <v>83</v>
      </c>
      <c r="B48" s="15" t="s">
        <v>84</v>
      </c>
      <c r="C48" s="50">
        <f>ROUND((C41-C27)/C16,2)</f>
        <v>11.46</v>
      </c>
      <c r="D48" s="51">
        <f>ROUNDUP(C48,0)</f>
        <v>12</v>
      </c>
      <c r="E48" s="206"/>
      <c r="F48" s="207"/>
      <c r="G48" s="97" t="s">
        <v>85</v>
      </c>
    </row>
    <row r="49" spans="1:7" ht="25.35" customHeight="1" x14ac:dyDescent="0.25">
      <c r="A49" s="204"/>
      <c r="B49" s="11" t="s">
        <v>86</v>
      </c>
      <c r="C49" s="52">
        <v>11</v>
      </c>
      <c r="D49" s="56">
        <f>C50/D50</f>
        <v>22.958768475729848</v>
      </c>
      <c r="E49" s="208"/>
      <c r="F49" s="209"/>
      <c r="G49" s="98"/>
    </row>
    <row r="50" spans="1:7" ht="25.35" customHeight="1" x14ac:dyDescent="0.25">
      <c r="A50" s="204"/>
      <c r="B50" s="11" t="s">
        <v>87</v>
      </c>
      <c r="C50" s="53">
        <f>[71]簡易投報表!C24/C49</f>
        <v>91.83507390291939</v>
      </c>
      <c r="D50" s="54">
        <v>4</v>
      </c>
      <c r="E50" s="276">
        <f>ROUND(C50/D50,1)</f>
        <v>23</v>
      </c>
      <c r="F50" s="276"/>
      <c r="G50" s="107"/>
    </row>
    <row r="51" spans="1:7" ht="25.35" customHeight="1" x14ac:dyDescent="0.25">
      <c r="A51" s="204"/>
      <c r="B51" s="11" t="s">
        <v>88</v>
      </c>
      <c r="C51" s="211">
        <f>(C49-1)*D50</f>
        <v>40</v>
      </c>
      <c r="D51" s="212"/>
      <c r="E51" s="212"/>
      <c r="F51" s="213"/>
      <c r="G51" s="98" t="s">
        <v>89</v>
      </c>
    </row>
    <row r="52" spans="1:7" ht="25.35" customHeight="1" x14ac:dyDescent="0.25">
      <c r="A52" s="204"/>
      <c r="B52" s="11" t="s">
        <v>90</v>
      </c>
      <c r="C52" s="214">
        <f>ROUNDDOWN(E30*F3,0)</f>
        <v>22</v>
      </c>
      <c r="D52" s="215"/>
      <c r="E52" s="215"/>
      <c r="F52" s="216"/>
      <c r="G52" s="98" t="s">
        <v>91</v>
      </c>
    </row>
    <row r="53" spans="1:7" ht="25.35" customHeight="1" x14ac:dyDescent="0.25">
      <c r="A53" s="204"/>
      <c r="B53" s="11" t="s">
        <v>92</v>
      </c>
      <c r="C53" s="217">
        <f>E30-C52</f>
        <v>0</v>
      </c>
      <c r="D53" s="218"/>
      <c r="E53" s="218"/>
      <c r="F53" s="219"/>
      <c r="G53" s="98"/>
    </row>
    <row r="54" spans="1:7" ht="25.35" customHeight="1" thickBot="1" x14ac:dyDescent="0.3">
      <c r="A54" s="205"/>
      <c r="B54" s="55" t="s">
        <v>93</v>
      </c>
      <c r="C54" s="220">
        <f>SUM(C52:F53)</f>
        <v>22</v>
      </c>
      <c r="D54" s="221"/>
      <c r="E54" s="196">
        <f>C54/C51</f>
        <v>0.55000000000000004</v>
      </c>
      <c r="F54" s="197"/>
      <c r="G54" s="99"/>
    </row>
    <row r="56" spans="1:7" ht="16.5" x14ac:dyDescent="0.25">
      <c r="G56" s="112"/>
    </row>
  </sheetData>
  <mergeCells count="70">
    <mergeCell ref="A1:G1"/>
    <mergeCell ref="B3:D3"/>
    <mergeCell ref="A4:A11"/>
    <mergeCell ref="C4:F4"/>
    <mergeCell ref="C5:F5"/>
    <mergeCell ref="C6:D6"/>
    <mergeCell ref="E6:F6"/>
    <mergeCell ref="C7:D7"/>
    <mergeCell ref="E7:F7"/>
    <mergeCell ref="F8:F9"/>
    <mergeCell ref="C10:D10"/>
    <mergeCell ref="E10:F10"/>
    <mergeCell ref="C11:D11"/>
    <mergeCell ref="A12:B12"/>
    <mergeCell ref="E12:F12"/>
    <mergeCell ref="P15:S15"/>
    <mergeCell ref="E16:F16"/>
    <mergeCell ref="A17:A23"/>
    <mergeCell ref="E17:F17"/>
    <mergeCell ref="E18:F18"/>
    <mergeCell ref="E19:F19"/>
    <mergeCell ref="E20:F20"/>
    <mergeCell ref="E21:F21"/>
    <mergeCell ref="E22:F22"/>
    <mergeCell ref="E23:F23"/>
    <mergeCell ref="A13:A16"/>
    <mergeCell ref="E13:F13"/>
    <mergeCell ref="E14:F14"/>
    <mergeCell ref="E15:F15"/>
    <mergeCell ref="A41:B41"/>
    <mergeCell ref="E41:F41"/>
    <mergeCell ref="A42:B42"/>
    <mergeCell ref="A24:A29"/>
    <mergeCell ref="E24:F24"/>
    <mergeCell ref="E25:F25"/>
    <mergeCell ref="E26:F26"/>
    <mergeCell ref="E27:F27"/>
    <mergeCell ref="E28:F28"/>
    <mergeCell ref="E29:F29"/>
    <mergeCell ref="A30:A40"/>
    <mergeCell ref="E30:F30"/>
    <mergeCell ref="E31:F31"/>
    <mergeCell ref="E32:F32"/>
    <mergeCell ref="E33:F33"/>
    <mergeCell ref="E34:F34"/>
    <mergeCell ref="E35:F35"/>
    <mergeCell ref="E36:F36"/>
    <mergeCell ref="E37:F37"/>
    <mergeCell ref="E39:F39"/>
    <mergeCell ref="E40:F40"/>
    <mergeCell ref="E42:F42"/>
    <mergeCell ref="A44:B44"/>
    <mergeCell ref="E44:F44"/>
    <mergeCell ref="A45:B45"/>
    <mergeCell ref="E45:F45"/>
    <mergeCell ref="A43:B43"/>
    <mergeCell ref="E43:F43"/>
    <mergeCell ref="A46:B46"/>
    <mergeCell ref="C46:F46"/>
    <mergeCell ref="E54:F54"/>
    <mergeCell ref="A47:B47"/>
    <mergeCell ref="C47:F47"/>
    <mergeCell ref="A48:A54"/>
    <mergeCell ref="E48:F48"/>
    <mergeCell ref="E49:F49"/>
    <mergeCell ref="E50:F50"/>
    <mergeCell ref="C51:F51"/>
    <mergeCell ref="C52:F52"/>
    <mergeCell ref="C53:F53"/>
    <mergeCell ref="C54:D54"/>
  </mergeCells>
  <phoneticPr fontId="1" type="noConversion"/>
  <pageMargins left="0.31496062992125984" right="0" top="1.0236220472440944" bottom="0.59055118110236227" header="0.70866141732283472" footer="0.51181102362204722"/>
  <pageSetup paperSize="9" scale="45" orientation="portrait" horizontalDpi="300" verticalDpi="300" r:id="rId1"/>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具名範圍</vt:lpstr>
      </vt:variant>
      <vt:variant>
        <vt:i4>2</vt:i4>
      </vt:variant>
    </vt:vector>
  </HeadingPairs>
  <TitlesOfParts>
    <vt:vector size="6" baseType="lpstr">
      <vt:lpstr>可申請獎勵上限</vt:lpstr>
      <vt:lpstr>都更獎勵(北市)</vt:lpstr>
      <vt:lpstr>北市建築量體</vt:lpstr>
      <vt:lpstr>新北建築量體</vt:lpstr>
      <vt:lpstr>北市建築量體!Print_Area</vt:lpstr>
      <vt:lpstr>新北建築量體!Print_Area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方玉蘭</dc:creator>
  <cp:lastModifiedBy>林慶哲</cp:lastModifiedBy>
  <cp:lastPrinted>2024-11-01T09:19:26Z</cp:lastPrinted>
  <dcterms:created xsi:type="dcterms:W3CDTF">2024-11-01T06:34:26Z</dcterms:created>
  <dcterms:modified xsi:type="dcterms:W3CDTF">2026-01-22T03:12:16Z</dcterms:modified>
</cp:coreProperties>
</file>