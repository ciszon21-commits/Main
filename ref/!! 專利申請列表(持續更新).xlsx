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WORKing資料@SINOTECH\E DISK\vibe_training\CoDev_0106\CoDevStudio\ref\"/>
    </mc:Choice>
  </mc:AlternateContent>
  <xr:revisionPtr revIDLastSave="0" documentId="13_ncr:1_{7A44943F-2FBF-4980-9509-8A48B0BC288F}" xr6:coauthVersionLast="47" xr6:coauthVersionMax="47" xr10:uidLastSave="{00000000-0000-0000-0000-000000000000}"/>
  <bookViews>
    <workbookView xWindow="-110" yWindow="-110" windowWidth="19420" windowHeight="10300" xr2:uid="{00000000-000D-0000-FFFF-FFFF00000000}"/>
  </bookViews>
  <sheets>
    <sheet name="工作表1" sheetId="1" r:id="rId1"/>
    <sheet name="工作表2" sheetId="2" r:id="rId2"/>
    <sheet name="2024" sheetId="5" r:id="rId3"/>
  </sheets>
  <definedNames>
    <definedName name="_xlnm._FilterDatabase" localSheetId="0" hidden="1">工作表1!$A$2:$U$45</definedName>
  </definedName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8" i="1" l="1"/>
  <c r="I48" i="1"/>
  <c r="A50" i="1"/>
  <c r="G50" i="1"/>
  <c r="G49" i="1"/>
  <c r="E49" i="1"/>
  <c r="E48" i="1"/>
  <c r="P25" i="2"/>
  <c r="P24" i="2"/>
  <c r="P21" i="2"/>
  <c r="P20" i="2"/>
  <c r="I15" i="2"/>
  <c r="H15" i="2"/>
  <c r="F48" i="1" l="1"/>
  <c r="E50" i="1"/>
  <c r="F49" i="1"/>
  <c r="F50" i="1" l="1"/>
</calcChain>
</file>

<file path=xl/sharedStrings.xml><?xml version="1.0" encoding="utf-8"?>
<sst xmlns="http://schemas.openxmlformats.org/spreadsheetml/2006/main" count="623" uniqueCount="388">
  <si>
    <t>第3年</t>
  </si>
  <si>
    <t>第4年</t>
  </si>
  <si>
    <t>第5年</t>
  </si>
  <si>
    <t>第6年</t>
  </si>
  <si>
    <t>第7年</t>
  </si>
  <si>
    <t>01</t>
    <phoneticPr fontId="1" type="noConversion"/>
  </si>
  <si>
    <t>#1-1</t>
    <phoneticPr fontId="1" type="noConversion"/>
  </si>
  <si>
    <t>#1-2</t>
  </si>
  <si>
    <t>#2</t>
    <phoneticPr fontId="1" type="noConversion"/>
  </si>
  <si>
    <t>#3</t>
    <phoneticPr fontId="1" type="noConversion"/>
  </si>
  <si>
    <t>#4</t>
  </si>
  <si>
    <t>#5</t>
  </si>
  <si>
    <t>#6-1</t>
    <phoneticPr fontId="1" type="noConversion"/>
  </si>
  <si>
    <t>#6-2</t>
  </si>
  <si>
    <t>5041Z</t>
    <phoneticPr fontId="1" type="noConversion"/>
  </si>
  <si>
    <t>01</t>
    <phoneticPr fontId="1" type="noConversion"/>
  </si>
  <si>
    <t>0+1</t>
    <phoneticPr fontId="1" type="noConversion"/>
  </si>
  <si>
    <t>110B0052</t>
    <phoneticPr fontId="1" type="noConversion"/>
  </si>
  <si>
    <t>110B0053</t>
  </si>
  <si>
    <t>110B0051</t>
  </si>
  <si>
    <t>發明</t>
    <phoneticPr fontId="1" type="noConversion"/>
  </si>
  <si>
    <t>捷運自動化設計-CSD/SEM SinoOH</t>
    <phoneticPr fontId="1" type="noConversion"/>
  </si>
  <si>
    <t>自動化決定逃生路徑</t>
    <phoneticPr fontId="1" type="noConversion"/>
  </si>
  <si>
    <t>新型</t>
    <phoneticPr fontId="1" type="noConversion"/>
  </si>
  <si>
    <t>核銷紀錄</t>
    <phoneticPr fontId="1" type="noConversion"/>
  </si>
  <si>
    <t>答辯紀錄</t>
    <phoneticPr fontId="1" type="noConversion"/>
  </si>
  <si>
    <t>項次</t>
    <phoneticPr fontId="1" type="noConversion"/>
  </si>
  <si>
    <t>答辯費</t>
    <phoneticPr fontId="1" type="noConversion"/>
  </si>
  <si>
    <t>(2022)5041Z</t>
    <phoneticPr fontId="1" type="noConversion"/>
  </si>
  <si>
    <t>(2022)5041Z</t>
    <phoneticPr fontId="1" type="noConversion"/>
  </si>
  <si>
    <t>(2023)1005Z</t>
    <phoneticPr fontId="1" type="noConversion"/>
  </si>
  <si>
    <t>(2021)5041Z</t>
    <phoneticPr fontId="1" type="noConversion"/>
  </si>
  <si>
    <t>(2021)5041Z</t>
    <phoneticPr fontId="1" type="noConversion"/>
  </si>
  <si>
    <t>110B0054</t>
  </si>
  <si>
    <t>長江案號</t>
    <phoneticPr fontId="1" type="noConversion"/>
  </si>
  <si>
    <t>專利編號</t>
    <phoneticPr fontId="1" type="noConversion"/>
  </si>
  <si>
    <t>2021.10.21~
2031.06.22</t>
    <phoneticPr fontId="1" type="noConversion"/>
  </si>
  <si>
    <t>年費繳交期限</t>
    <phoneticPr fontId="1" type="noConversion"/>
  </si>
  <si>
    <t>2021.12.21~
2031.07.07</t>
    <phoneticPr fontId="1" type="noConversion"/>
  </si>
  <si>
    <t>2022.11.01~
2041.06.22</t>
    <phoneticPr fontId="1" type="noConversion"/>
  </si>
  <si>
    <t>發明第I782591號</t>
    <phoneticPr fontId="1" type="noConversion"/>
  </si>
  <si>
    <t>捷運自動化設計</t>
    <phoneticPr fontId="1" type="noConversion"/>
  </si>
  <si>
    <t>捷運自動化設計-深開挖 SinoExcacvation</t>
    <phoneticPr fontId="1" type="noConversion"/>
  </si>
  <si>
    <t>潛盾隧道工程的自動化分析方法及其系統</t>
    <phoneticPr fontId="1" type="noConversion"/>
  </si>
  <si>
    <t>新型第M621394號</t>
    <phoneticPr fontId="1" type="noConversion"/>
  </si>
  <si>
    <t>12月20日</t>
    <phoneticPr fontId="1" type="noConversion"/>
  </si>
  <si>
    <t>專利申請</t>
    <phoneticPr fontId="1" type="noConversion"/>
  </si>
  <si>
    <t>計畫編號</t>
    <phoneticPr fontId="1" type="noConversion"/>
  </si>
  <si>
    <t>委外編號</t>
    <phoneticPr fontId="1" type="noConversion"/>
  </si>
  <si>
    <t>案件內容</t>
    <phoneticPr fontId="1" type="noConversion"/>
  </si>
  <si>
    <t>申請專利類別</t>
    <phoneticPr fontId="1" type="noConversion"/>
  </si>
  <si>
    <t>狀態</t>
    <phoneticPr fontId="1" type="noConversion"/>
  </si>
  <si>
    <t>專利名稱</t>
    <phoneticPr fontId="1" type="noConversion"/>
  </si>
  <si>
    <t>專利期間</t>
    <phoneticPr fontId="1" type="noConversion"/>
  </si>
  <si>
    <t>領證+
第1年年費</t>
    <phoneticPr fontId="1" type="noConversion"/>
  </si>
  <si>
    <t>第2年</t>
    <phoneticPr fontId="1" type="noConversion"/>
  </si>
  <si>
    <t>捷運自動化設計</t>
    <phoneticPr fontId="1" type="noConversion"/>
  </si>
  <si>
    <t>工程自動化設計管理裝置</t>
    <phoneticPr fontId="1" type="noConversion"/>
  </si>
  <si>
    <t>10月20日</t>
    <phoneticPr fontId="1" type="noConversion"/>
  </si>
  <si>
    <t>捷運自動化設計-管線工程</t>
    <phoneticPr fontId="1" type="noConversion"/>
  </si>
  <si>
    <t>管線工程設計方法</t>
    <phoneticPr fontId="1" type="noConversion"/>
  </si>
  <si>
    <t>10月31日</t>
    <phoneticPr fontId="1" type="noConversion"/>
  </si>
  <si>
    <t>發明-機電整合介面圖與結構機電介面圖模型化的方法</t>
    <phoneticPr fontId="1" type="noConversion"/>
  </si>
  <si>
    <t>深開挖工程的自動化分析檢核方法及其系統</t>
    <phoneticPr fontId="1" type="noConversion"/>
  </si>
  <si>
    <t>捷運自動化設計-潛盾 SinoTunnel</t>
    <phoneticPr fontId="1" type="noConversion"/>
  </si>
  <si>
    <t>自動化逃生路徑產生方法及其系統</t>
    <phoneticPr fontId="1" type="noConversion"/>
  </si>
  <si>
    <t>自動化逃生路徑產生裝置</t>
    <phoneticPr fontId="1" type="noConversion"/>
  </si>
  <si>
    <t>2022.06.11~
2041.06.22</t>
    <phoneticPr fontId="1" type="noConversion"/>
  </si>
  <si>
    <t>6月10日</t>
    <phoneticPr fontId="1" type="noConversion"/>
  </si>
  <si>
    <t>發明第I767764號</t>
    <phoneticPr fontId="1" type="noConversion"/>
  </si>
  <si>
    <t>110B0055</t>
  </si>
  <si>
    <t>110B0050</t>
    <phoneticPr fontId="1" type="noConversion"/>
  </si>
  <si>
    <t>5058Z</t>
    <phoneticPr fontId="1" type="noConversion"/>
  </si>
  <si>
    <t>#1</t>
    <phoneticPr fontId="1" type="noConversion"/>
  </si>
  <si>
    <t>#2-2</t>
    <phoneticPr fontId="1" type="noConversion"/>
  </si>
  <si>
    <t>#2-1</t>
    <phoneticPr fontId="1" type="noConversion"/>
  </si>
  <si>
    <t>#3</t>
    <phoneticPr fontId="1" type="noConversion"/>
  </si>
  <si>
    <t>#4</t>
    <phoneticPr fontId="1" type="noConversion"/>
  </si>
  <si>
    <t>#5-1</t>
    <phoneticPr fontId="1" type="noConversion"/>
  </si>
  <si>
    <t>#5-2</t>
    <phoneticPr fontId="1" type="noConversion"/>
  </si>
  <si>
    <t>#6</t>
    <phoneticPr fontId="1" type="noConversion"/>
  </si>
  <si>
    <t>施工期間動態調整智能交通維持</t>
    <phoneticPr fontId="1" type="noConversion"/>
  </si>
  <si>
    <t>設計成果AI語意分析</t>
    <phoneticPr fontId="1" type="noConversion"/>
  </si>
  <si>
    <t>捷運建築設計自動化與智慧化校核</t>
    <phoneticPr fontId="1" type="noConversion"/>
  </si>
  <si>
    <t>深開挖施工平台</t>
    <phoneticPr fontId="1" type="noConversion"/>
  </si>
  <si>
    <t>潛盾隧道施工平台</t>
    <phoneticPr fontId="1" type="noConversion"/>
  </si>
  <si>
    <t>捷運建築設計自動化與智慧化校核</t>
    <phoneticPr fontId="1" type="noConversion"/>
  </si>
  <si>
    <t>空間配置工具及模型建置</t>
    <phoneticPr fontId="1" type="noConversion"/>
  </si>
  <si>
    <r>
      <rPr>
        <sz val="12"/>
        <color theme="1"/>
        <rFont val="新細明體"/>
        <family val="1"/>
        <charset val="136"/>
      </rPr>
      <t>設計成果</t>
    </r>
    <r>
      <rPr>
        <sz val="12"/>
        <color theme="1"/>
        <rFont val="Times New Roman"/>
        <family val="1"/>
      </rPr>
      <t>AI</t>
    </r>
    <r>
      <rPr>
        <sz val="12"/>
        <color theme="1"/>
        <rFont val="新細明體"/>
        <family val="1"/>
        <charset val="136"/>
      </rPr>
      <t>語意分析</t>
    </r>
    <phoneticPr fontId="1" type="noConversion"/>
  </si>
  <si>
    <t>利用二維特徵圖例生成三維地下管線與設施</t>
    <phoneticPr fontId="1" type="noConversion"/>
  </si>
  <si>
    <t>#1-1</t>
    <phoneticPr fontId="1" type="noConversion"/>
  </si>
  <si>
    <t>02</t>
    <phoneticPr fontId="1" type="noConversion"/>
  </si>
  <si>
    <t>02</t>
    <phoneticPr fontId="1" type="noConversion"/>
  </si>
  <si>
    <t>02</t>
    <phoneticPr fontId="1" type="noConversion"/>
  </si>
  <si>
    <t>發明</t>
    <phoneticPr fontId="1" type="noConversion"/>
  </si>
  <si>
    <t>新型</t>
    <phoneticPr fontId="1" type="noConversion"/>
  </si>
  <si>
    <t>發明第I793670號</t>
  </si>
  <si>
    <t>5055Z</t>
    <phoneticPr fontId="1" type="noConversion"/>
  </si>
  <si>
    <t>#1-1</t>
    <phoneticPr fontId="1" type="noConversion"/>
  </si>
  <si>
    <t>#1-2</t>
    <phoneticPr fontId="1" type="noConversion"/>
  </si>
  <si>
    <t>#2</t>
    <phoneticPr fontId="1" type="noConversion"/>
  </si>
  <si>
    <t>國土規劃地物辨識方法及其系統</t>
    <phoneticPr fontId="1" type="noConversion"/>
  </si>
  <si>
    <t>國土規劃地物辨識方法及其系統</t>
    <phoneticPr fontId="1" type="noConversion"/>
  </si>
  <si>
    <t>國土規劃地物辨識方法AI訓練學習模型</t>
    <phoneticPr fontId="1" type="noConversion"/>
  </si>
  <si>
    <t>2023.02.21~
2041.07.07</t>
    <phoneticPr fontId="1" type="noConversion"/>
  </si>
  <si>
    <t>2023.02.11~
2041.07.07</t>
    <phoneticPr fontId="1" type="noConversion"/>
  </si>
  <si>
    <t>工程自動化設計管理方法及其系統</t>
    <phoneticPr fontId="1" type="noConversion"/>
  </si>
  <si>
    <t>110B0049</t>
    <phoneticPr fontId="1" type="noConversion"/>
  </si>
  <si>
    <t>110B0048</t>
    <phoneticPr fontId="1" type="noConversion"/>
  </si>
  <si>
    <t>已取得</t>
    <phoneticPr fontId="1" type="noConversion"/>
  </si>
  <si>
    <t>申請</t>
    <phoneticPr fontId="1" type="noConversion"/>
  </si>
  <si>
    <t>111B0139</t>
    <phoneticPr fontId="1" type="noConversion"/>
  </si>
  <si>
    <t>車站建築設計系統</t>
    <phoneticPr fontId="1" type="noConversion"/>
  </si>
  <si>
    <t>(2023)5058Z</t>
    <phoneticPr fontId="1" type="noConversion"/>
  </si>
  <si>
    <t>2022
2023/4/11</t>
    <phoneticPr fontId="1" type="noConversion"/>
  </si>
  <si>
    <t>111B0137</t>
    <phoneticPr fontId="1" type="noConversion"/>
  </si>
  <si>
    <t>深開挖施工資訊平台</t>
    <phoneticPr fontId="1" type="noConversion"/>
  </si>
  <si>
    <t>0404B</t>
    <phoneticPr fontId="1" type="noConversion"/>
  </si>
  <si>
    <t>05</t>
    <phoneticPr fontId="1" type="noConversion"/>
  </si>
  <si>
    <t>#2-1</t>
    <phoneticPr fontId="1" type="noConversion"/>
  </si>
  <si>
    <t>#2-2</t>
    <phoneticPr fontId="1" type="noConversion"/>
  </si>
  <si>
    <t>地下管線三維碰撞調整之發法及其系統</t>
  </si>
  <si>
    <t>地下管線三維碰撞調整之發法及其系統</t>
    <phoneticPr fontId="1" type="noConversion"/>
  </si>
  <si>
    <t>(2023.06)1005Z</t>
    <phoneticPr fontId="1" type="noConversion"/>
  </si>
  <si>
    <t>新型第M618628號</t>
    <phoneticPr fontId="1" type="noConversion"/>
  </si>
  <si>
    <t>111B0348</t>
    <phoneticPr fontId="1" type="noConversion"/>
  </si>
  <si>
    <t>新型第M641506號</t>
    <phoneticPr fontId="1" type="noConversion"/>
  </si>
  <si>
    <t>111B0141</t>
    <phoneticPr fontId="1" type="noConversion"/>
  </si>
  <si>
    <t>語意分析系統</t>
    <phoneticPr fontId="1" type="noConversion"/>
  </si>
  <si>
    <t>(2023)5058Z</t>
    <phoneticPr fontId="1" type="noConversion"/>
  </si>
  <si>
    <t>(2023.07)1005Z</t>
    <phoneticPr fontId="1" type="noConversion"/>
  </si>
  <si>
    <t>111B0144</t>
    <phoneticPr fontId="1" type="noConversion"/>
  </si>
  <si>
    <t>車站空間配置方法</t>
    <phoneticPr fontId="1" type="noConversion"/>
  </si>
  <si>
    <t>111B0346</t>
    <phoneticPr fontId="1" type="noConversion"/>
  </si>
  <si>
    <t>三維元件生成系統</t>
    <phoneticPr fontId="1" type="noConversion"/>
  </si>
  <si>
    <t>新型第M643874號</t>
    <phoneticPr fontId="1" type="noConversion"/>
  </si>
  <si>
    <t>三維元件碰撞調整系統</t>
    <phoneticPr fontId="1" type="noConversion"/>
  </si>
  <si>
    <t>2023.07.11~
2033.4.18</t>
    <phoneticPr fontId="1" type="noConversion"/>
  </si>
  <si>
    <t>(2023.08)1005Z</t>
    <phoneticPr fontId="1" type="noConversion"/>
  </si>
  <si>
    <t>111B0140</t>
  </si>
  <si>
    <t>語意分析系統及方法</t>
    <phoneticPr fontId="1" type="noConversion"/>
  </si>
  <si>
    <t>新型第M644048號</t>
    <phoneticPr fontId="1" type="noConversion"/>
  </si>
  <si>
    <t>新型第M643292號</t>
    <phoneticPr fontId="1" type="noConversion"/>
  </si>
  <si>
    <t>新型第M645305號</t>
    <phoneticPr fontId="1" type="noConversion"/>
  </si>
  <si>
    <t>111B0136</t>
    <phoneticPr fontId="1" type="noConversion"/>
  </si>
  <si>
    <t>111B0138</t>
    <phoneticPr fontId="1" type="noConversion"/>
  </si>
  <si>
    <t>列標籤</t>
  </si>
  <si>
    <t>0404B</t>
  </si>
  <si>
    <t>5041Z</t>
  </si>
  <si>
    <t>5055Z</t>
  </si>
  <si>
    <t>5058Z</t>
  </si>
  <si>
    <t>總計</t>
  </si>
  <si>
    <t>計數 - 項次</t>
  </si>
  <si>
    <t>發明</t>
  </si>
  <si>
    <t>新型</t>
  </si>
  <si>
    <t>計數 - 專利編號</t>
  </si>
  <si>
    <t>車站建築設計系統及方法</t>
    <phoneticPr fontId="1" type="noConversion"/>
  </si>
  <si>
    <t>1005Z(20231103申復)</t>
    <phoneticPr fontId="1" type="noConversion"/>
  </si>
  <si>
    <t>0405B</t>
    <phoneticPr fontId="1" type="noConversion"/>
  </si>
  <si>
    <t>排水設施高程與道路縱面設計精準連棟設計方法及其系統</t>
    <phoneticPr fontId="1" type="noConversion"/>
  </si>
  <si>
    <t>雨水下水道系統與連接集水井管涵高程連動設計方法及其系統</t>
    <phoneticPr fontId="1" type="noConversion"/>
  </si>
  <si>
    <t>三維元件生成系統及其方法</t>
    <phoneticPr fontId="1" type="noConversion"/>
  </si>
  <si>
    <t>111B0345</t>
    <phoneticPr fontId="1" type="noConversion"/>
  </si>
  <si>
    <t>(2023.11)1005Z</t>
    <phoneticPr fontId="1" type="noConversion"/>
  </si>
  <si>
    <t>發明第I792399號</t>
    <phoneticPr fontId="1" type="noConversion"/>
  </si>
  <si>
    <t>2024Sep</t>
    <phoneticPr fontId="1" type="noConversion"/>
  </si>
  <si>
    <t>(2023.04)1005Z</t>
    <phoneticPr fontId="1" type="noConversion"/>
  </si>
  <si>
    <t>(2023.8)1005Z</t>
    <phoneticPr fontId="1" type="noConversion"/>
  </si>
  <si>
    <t>1005Z(2022)</t>
    <phoneticPr fontId="1" type="noConversion"/>
  </si>
  <si>
    <t>2022/10/30
2023</t>
    <phoneticPr fontId="1" type="noConversion"/>
  </si>
  <si>
    <t>0405B</t>
  </si>
  <si>
    <t>申請數</t>
    <phoneticPr fontId="1" type="noConversion"/>
  </si>
  <si>
    <t>取得數</t>
    <phoneticPr fontId="1" type="noConversion"/>
  </si>
  <si>
    <t>111B0352</t>
    <phoneticPr fontId="1" type="noConversion"/>
  </si>
  <si>
    <t>新型第M649422號</t>
    <phoneticPr fontId="1" type="noConversion"/>
  </si>
  <si>
    <t>排水物件的關聯系統</t>
    <phoneticPr fontId="1" type="noConversion"/>
  </si>
  <si>
    <t>(2023.12)1005Z</t>
    <phoneticPr fontId="1" type="noConversion"/>
  </si>
  <si>
    <t>5058Z(202309申復)</t>
    <phoneticPr fontId="1" type="noConversion"/>
  </si>
  <si>
    <t>5082Z</t>
    <phoneticPr fontId="1" type="noConversion"/>
  </si>
  <si>
    <t>02</t>
    <phoneticPr fontId="1" type="noConversion"/>
  </si>
  <si>
    <t>地物辨識方法及其系統</t>
    <phoneticPr fontId="1" type="noConversion"/>
  </si>
  <si>
    <t>112B0094</t>
    <phoneticPr fontId="1" type="noConversion"/>
  </si>
  <si>
    <t>地物辨認系統</t>
    <phoneticPr fontId="1" type="noConversion"/>
  </si>
  <si>
    <t>112B0095</t>
    <phoneticPr fontId="1" type="noConversion"/>
  </si>
  <si>
    <t>112B0096</t>
    <phoneticPr fontId="1" type="noConversion"/>
  </si>
  <si>
    <t>基於人工智慧的地物辨識方法</t>
    <phoneticPr fontId="1" type="noConversion"/>
  </si>
  <si>
    <t>1005Z(20231113答辯)
1005Z(20240109再審查)</t>
    <phoneticPr fontId="1" type="noConversion"/>
  </si>
  <si>
    <t>1005Z(20231018申復)
1005Z(20240126再審查)</t>
    <phoneticPr fontId="1" type="noConversion"/>
  </si>
  <si>
    <t>(2024.02)1005Z</t>
    <phoneticPr fontId="1" type="noConversion"/>
  </si>
  <si>
    <t>2024 Feb</t>
    <phoneticPr fontId="1" type="noConversion"/>
  </si>
  <si>
    <t>2025 Jan(1005Z)</t>
    <phoneticPr fontId="1" type="noConversion"/>
  </si>
  <si>
    <r>
      <t xml:space="preserve">5041Z(2022答辯)
</t>
    </r>
    <r>
      <rPr>
        <sz val="10"/>
        <color rgb="FF0000FF"/>
        <rFont val="新細明體"/>
        <family val="1"/>
        <charset val="136"/>
        <scheme val="minor"/>
      </rPr>
      <t>1005Z(202304再審查)</t>
    </r>
    <phoneticPr fontId="1" type="noConversion"/>
  </si>
  <si>
    <r>
      <t xml:space="preserve">5041Z(2022答辯)
</t>
    </r>
    <r>
      <rPr>
        <sz val="10"/>
        <color rgb="FF0000FF"/>
        <rFont val="新細明體"/>
        <family val="1"/>
        <charset val="136"/>
        <scheme val="minor"/>
      </rPr>
      <t>1005Z(202307再審查)</t>
    </r>
    <phoneticPr fontId="1" type="noConversion"/>
  </si>
  <si>
    <t>發明第I825435號</t>
    <phoneticPr fontId="1" type="noConversion"/>
  </si>
  <si>
    <t>2023.12.11~
2041.06.22</t>
    <phoneticPr fontId="1" type="noConversion"/>
  </si>
  <si>
    <t>結構分析設計資訊標準化及其空間資 訊應用方法</t>
    <phoneticPr fontId="1" type="noConversion"/>
  </si>
  <si>
    <t>已申請專利數</t>
    <phoneticPr fontId="1" type="noConversion"/>
  </si>
  <si>
    <t>總數</t>
    <phoneticPr fontId="1" type="noConversion"/>
  </si>
  <si>
    <t>發明第I818280號</t>
    <phoneticPr fontId="1" type="noConversion"/>
  </si>
  <si>
    <t>三維元件碰撞調整系統及其方法</t>
    <phoneticPr fontId="1" type="noConversion"/>
  </si>
  <si>
    <t>111B0347</t>
    <phoneticPr fontId="1" type="noConversion"/>
  </si>
  <si>
    <t>(2024.03)1005Z</t>
    <phoneticPr fontId="1" type="noConversion"/>
  </si>
  <si>
    <t>(2023.03.25)1005Z</t>
    <phoneticPr fontId="1" type="noConversion"/>
  </si>
  <si>
    <t>2025Mar</t>
    <phoneticPr fontId="1" type="noConversion"/>
  </si>
  <si>
    <t>(2024.3.26)1005Z</t>
    <phoneticPr fontId="1" type="noConversion"/>
  </si>
  <si>
    <t>(2024.4.1)1005Z</t>
    <phoneticPr fontId="1" type="noConversion"/>
  </si>
  <si>
    <t xml:space="preserve">                                                  </t>
    <phoneticPr fontId="1" type="noConversion"/>
  </si>
  <si>
    <t>(2024.4)1005Z</t>
    <phoneticPr fontId="1" type="noConversion"/>
  </si>
  <si>
    <t>(2024.4)1005Z</t>
    <phoneticPr fontId="1" type="noConversion"/>
  </si>
  <si>
    <t>潛盾施工資訊平台</t>
    <phoneticPr fontId="1" type="noConversion"/>
  </si>
  <si>
    <t>111B0350</t>
    <phoneticPr fontId="1" type="noConversion"/>
  </si>
  <si>
    <t>排水系統之高程修正系統</t>
    <phoneticPr fontId="1" type="noConversion"/>
  </si>
  <si>
    <t>(2024.05)1005Z</t>
    <phoneticPr fontId="1" type="noConversion"/>
  </si>
  <si>
    <r>
      <t xml:space="preserve">5058Z(202307申復)
</t>
    </r>
    <r>
      <rPr>
        <sz val="10"/>
        <color rgb="FF0000FF"/>
        <rFont val="新細明體"/>
        <family val="1"/>
        <charset val="136"/>
        <scheme val="minor"/>
      </rPr>
      <t>1005Z(20240508再審查)</t>
    </r>
    <phoneticPr fontId="1" type="noConversion"/>
  </si>
  <si>
    <t>(2024.5.8)1005Z</t>
    <phoneticPr fontId="1" type="noConversion"/>
  </si>
  <si>
    <t>111B0351</t>
    <phoneticPr fontId="1" type="noConversion"/>
  </si>
  <si>
    <t>排水物件的關聯系統及方法</t>
    <phoneticPr fontId="1" type="noConversion"/>
  </si>
  <si>
    <t>1005Z(202406申復)</t>
    <phoneticPr fontId="1" type="noConversion"/>
  </si>
  <si>
    <t>新型第M655693號</t>
    <phoneticPr fontId="1" type="noConversion"/>
  </si>
  <si>
    <t>(2023.9.25)1005Z</t>
    <phoneticPr fontId="1" type="noConversion"/>
  </si>
  <si>
    <t>(2024.7.5)1005Z</t>
    <phoneticPr fontId="1" type="noConversion"/>
  </si>
  <si>
    <t>2024.7.5</t>
    <phoneticPr fontId="1" type="noConversion"/>
  </si>
  <si>
    <t>112年度no.11會議記錄結論</t>
    <phoneticPr fontId="1" type="noConversion"/>
  </si>
  <si>
    <t>(2024.08)1005Z</t>
    <phoneticPr fontId="1" type="noConversion"/>
  </si>
  <si>
    <t>排水系統之高程修正系統及方法</t>
    <phoneticPr fontId="1" type="noConversion"/>
  </si>
  <si>
    <t>111B0349</t>
    <phoneticPr fontId="1" type="noConversion"/>
  </si>
  <si>
    <t>1005Z(202408申復)</t>
    <phoneticPr fontId="1" type="noConversion"/>
  </si>
  <si>
    <t>(2023.07.30)1005Z</t>
    <phoneticPr fontId="1" type="noConversion"/>
  </si>
  <si>
    <t>2+3</t>
    <phoneticPr fontId="1" type="noConversion"/>
  </si>
  <si>
    <t>2025Aug</t>
    <phoneticPr fontId="1" type="noConversion"/>
  </si>
  <si>
    <t>(2024.9.9)1005Z</t>
    <phoneticPr fontId="1" type="noConversion"/>
  </si>
  <si>
    <t>111B0142</t>
    <phoneticPr fontId="1" type="noConversion"/>
  </si>
  <si>
    <t>1005Z(202312申復)
1005Z(202409再審查)</t>
    <phoneticPr fontId="1" type="noConversion"/>
  </si>
  <si>
    <t>發明第I828531號</t>
    <phoneticPr fontId="1" type="noConversion"/>
  </si>
  <si>
    <t>發明第I841346號</t>
    <phoneticPr fontId="1" type="noConversion"/>
  </si>
  <si>
    <t>發明第I836967號</t>
    <phoneticPr fontId="1" type="noConversion"/>
  </si>
  <si>
    <t>(2024.10.28)1005Z</t>
    <phoneticPr fontId="1" type="noConversion"/>
  </si>
  <si>
    <t>1005Z(2024.10.21申復)</t>
    <phoneticPr fontId="1" type="noConversion"/>
  </si>
  <si>
    <t>發明第I840106號</t>
  </si>
  <si>
    <t>2024.04.21~
2043.1.31</t>
    <phoneticPr fontId="1" type="noConversion"/>
  </si>
  <si>
    <t>3月26日</t>
    <phoneticPr fontId="1" type="noConversion"/>
  </si>
  <si>
    <t>發明第I841217號</t>
    <phoneticPr fontId="1" type="noConversion"/>
  </si>
  <si>
    <t>2024.05.01~
2043.1.31</t>
    <phoneticPr fontId="1" type="noConversion"/>
  </si>
  <si>
    <t>2024.01.01~
2043.1.31</t>
    <phoneticPr fontId="1" type="noConversion"/>
  </si>
  <si>
    <t>2024.05.01~
2043.04.18</t>
    <phoneticPr fontId="1" type="noConversion"/>
  </si>
  <si>
    <t>2023.12.11~
20330.8.28</t>
    <phoneticPr fontId="1" type="noConversion"/>
  </si>
  <si>
    <t>2024.03.21~
2043.04.18</t>
    <phoneticPr fontId="1" type="noConversion"/>
  </si>
  <si>
    <t>新型第M652747號</t>
    <phoneticPr fontId="1" type="noConversion"/>
  </si>
  <si>
    <t>2024.03.11~
2033.11.19</t>
    <phoneticPr fontId="1" type="noConversion"/>
  </si>
  <si>
    <t>2024.05.21~
2033.09.07</t>
    <phoneticPr fontId="1" type="noConversion"/>
  </si>
  <si>
    <r>
      <t>專利取得(</t>
    </r>
    <r>
      <rPr>
        <sz val="10"/>
        <color rgb="FF00B050"/>
        <rFont val="新細明體"/>
        <family val="1"/>
        <charset val="136"/>
        <scheme val="minor"/>
      </rPr>
      <t>綠色表示有掃描檔</t>
    </r>
    <r>
      <rPr>
        <sz val="10"/>
        <color theme="1"/>
        <rFont val="新細明體"/>
        <family val="1"/>
        <charset val="136"/>
        <scheme val="minor"/>
      </rPr>
      <t>)</t>
    </r>
    <phoneticPr fontId="1" type="noConversion"/>
  </si>
  <si>
    <t>(2024.11.12)1005Z</t>
    <phoneticPr fontId="1" type="noConversion"/>
  </si>
  <si>
    <t>2023.10.11~
2041.07.7</t>
    <phoneticPr fontId="1" type="noConversion"/>
  </si>
  <si>
    <t>7月5日</t>
    <phoneticPr fontId="1" type="noConversion"/>
  </si>
  <si>
    <t>0+1</t>
    <phoneticPr fontId="1" type="noConversion"/>
  </si>
  <si>
    <t>取得年度</t>
    <phoneticPr fontId="1" type="noConversion"/>
  </si>
  <si>
    <t>2021</t>
    <phoneticPr fontId="1" type="noConversion"/>
  </si>
  <si>
    <t>2023</t>
    <phoneticPr fontId="1" type="noConversion"/>
  </si>
  <si>
    <t>2024</t>
    <phoneticPr fontId="1" type="noConversion"/>
  </si>
  <si>
    <t>2022</t>
    <phoneticPr fontId="1" type="noConversion"/>
  </si>
  <si>
    <t>(2024.12)1005Z</t>
    <phoneticPr fontId="1" type="noConversion"/>
  </si>
  <si>
    <t>0+1</t>
    <phoneticPr fontId="1" type="noConversion"/>
  </si>
  <si>
    <t>(2024.11)1005Z</t>
    <phoneticPr fontId="1" type="noConversion"/>
  </si>
  <si>
    <t>(2025.1.8)1005Z</t>
    <phoneticPr fontId="1" type="noConversion"/>
  </si>
  <si>
    <t>軌道二部/【發明專利】車站建築設計系統及方法 2024.1.1</t>
  </si>
  <si>
    <t>南工中心/【發明專利】三維元件碰撞調整系統及其方法 2024.3.21</t>
  </si>
  <si>
    <t>軌道二部/【發明專利】語意分析系統及方法 2024.4.21</t>
  </si>
  <si>
    <t>南工中心/【發明專利】三維元件生成系統及其方法 2024.5.1</t>
  </si>
  <si>
    <t>軌道二部/【發明專利】潛盾施工資訊平台 2024.5.1</t>
  </si>
  <si>
    <t>園區路航部/【新型專利】排水系統之高程修正系統 2024.5.21</t>
  </si>
  <si>
    <t>園區路航部/【發明專利】排水物件的關聯系統及方法 2024.8.11</t>
  </si>
  <si>
    <t>園區路航部/【新型專利】地物辨認系統 2024.3.11</t>
    <phoneticPr fontId="1" type="noConversion"/>
  </si>
  <si>
    <t>發明第I867852號
(電子證書)</t>
    <phoneticPr fontId="1" type="noConversion"/>
  </si>
  <si>
    <t>2024.12.21~
2043.11.19</t>
    <phoneticPr fontId="1" type="noConversion"/>
  </si>
  <si>
    <t>園區路航部/【發明專利】地物辨識方法及其系統 2024.12.21</t>
    <phoneticPr fontId="1" type="noConversion"/>
  </si>
  <si>
    <t>發明第I852749號
(電子證書)</t>
    <phoneticPr fontId="1" type="noConversion"/>
  </si>
  <si>
    <t>2024.8.11~
2043.08.28</t>
    <phoneticPr fontId="1" type="noConversion"/>
  </si>
  <si>
    <t>發明第I866045號</t>
    <phoneticPr fontId="1" type="noConversion"/>
  </si>
  <si>
    <t>2024.12.11~
2043.01.31</t>
    <phoneticPr fontId="1" type="noConversion"/>
  </si>
  <si>
    <t>軌道二部/【發明專利】車站空間配置方法 2024.12.11</t>
    <phoneticPr fontId="1" type="noConversion"/>
  </si>
  <si>
    <t>2024</t>
    <phoneticPr fontId="1" type="noConversion"/>
  </si>
  <si>
    <t>2023.07.21~
2033.01.31</t>
    <phoneticPr fontId="1" type="noConversion"/>
  </si>
  <si>
    <t>2023.07.01~
2033.01.31</t>
    <phoneticPr fontId="1" type="noConversion"/>
  </si>
  <si>
    <t>2023.05.21~
2033.01.31</t>
    <phoneticPr fontId="1" type="noConversion"/>
  </si>
  <si>
    <t>(2025.2.10)1005Z</t>
    <phoneticPr fontId="1" type="noConversion"/>
  </si>
  <si>
    <t>(2025.2.18)1005Z</t>
    <phoneticPr fontId="1" type="noConversion"/>
  </si>
  <si>
    <t>發明第I號
(電子證書)</t>
    <phoneticPr fontId="1" type="noConversion"/>
  </si>
  <si>
    <t>(2025.02)1005Z</t>
    <phoneticPr fontId="1" type="noConversion"/>
  </si>
  <si>
    <t>5093Z</t>
    <phoneticPr fontId="1" type="noConversion"/>
  </si>
  <si>
    <t>(2025.2.20)1005Z</t>
    <phoneticPr fontId="1" type="noConversion"/>
  </si>
  <si>
    <t>01</t>
    <phoneticPr fontId="1" type="noConversion"/>
  </si>
  <si>
    <t>#1-1</t>
    <phoneticPr fontId="1" type="noConversion"/>
  </si>
  <si>
    <t>#1-2</t>
    <phoneticPr fontId="1" type="noConversion"/>
  </si>
  <si>
    <t>0+1</t>
    <phoneticPr fontId="1" type="noConversion"/>
  </si>
  <si>
    <t>113B0480</t>
    <phoneticPr fontId="1" type="noConversion"/>
  </si>
  <si>
    <t>新型第</t>
    <phoneticPr fontId="1" type="noConversion"/>
  </si>
  <si>
    <t>施工期間動態交通調整系統</t>
    <phoneticPr fontId="1" type="noConversion"/>
  </si>
  <si>
    <t>2025.03~</t>
    <phoneticPr fontId="1" type="noConversion"/>
  </si>
  <si>
    <t>3月6日</t>
    <phoneticPr fontId="1" type="noConversion"/>
  </si>
  <si>
    <t>2025</t>
    <phoneticPr fontId="1" type="noConversion"/>
  </si>
  <si>
    <t>(2025.3.6)1005Z</t>
    <phoneticPr fontId="1" type="noConversion"/>
  </si>
  <si>
    <t>#1R</t>
    <phoneticPr fontId="1" type="noConversion"/>
  </si>
  <si>
    <t>應用大型語言模型分析車站土建工程排程以自動化建立四維建築資訊模型及設計成果一致性系統維護(語言模型+系統)</t>
    <phoneticPr fontId="1" type="noConversion"/>
  </si>
  <si>
    <t>應用大型語言模型分析車站土建工程排程以自動化建立四維建築資訊模型及設計成果一致性系統維護(系統)</t>
    <phoneticPr fontId="1" type="noConversion"/>
  </si>
  <si>
    <t>排水設計自動化</t>
  </si>
  <si>
    <t>排水設計自動化</t>
    <phoneticPr fontId="1" type="noConversion"/>
  </si>
  <si>
    <t>#3-1</t>
    <phoneticPr fontId="1" type="noConversion"/>
  </si>
  <si>
    <t>#3-2</t>
    <phoneticPr fontId="1" type="noConversion"/>
  </si>
  <si>
    <t>捷運工程單位造價及碳排放推估</t>
    <phoneticPr fontId="1" type="noConversion"/>
  </si>
  <si>
    <t>#4-1</t>
    <phoneticPr fontId="1" type="noConversion"/>
  </si>
  <si>
    <t>#4-2</t>
  </si>
  <si>
    <t>#5</t>
    <phoneticPr fontId="1" type="noConversion"/>
  </si>
  <si>
    <t>指標自動化</t>
    <phoneticPr fontId="1" type="noConversion"/>
  </si>
  <si>
    <t>捷運大地工程分析資料庫與施工數據預測預警系統</t>
    <phoneticPr fontId="1" type="noConversion"/>
  </si>
  <si>
    <t>112B0324</t>
    <phoneticPr fontId="1" type="noConversion"/>
  </si>
  <si>
    <t>新型第M號
(電子證書)</t>
    <phoneticPr fontId="1" type="noConversion"/>
  </si>
  <si>
    <t>三維建築結構設計自動化分析 系統與BIM整合模組</t>
    <phoneticPr fontId="1" type="noConversion"/>
  </si>
  <si>
    <t>(2025.03)1005Z</t>
    <phoneticPr fontId="1" type="noConversion"/>
  </si>
  <si>
    <t>未取得(含取消1)</t>
    <phoneticPr fontId="1" type="noConversion"/>
  </si>
  <si>
    <t>取消</t>
    <phoneticPr fontId="1" type="noConversion"/>
  </si>
  <si>
    <t>(2025.4.14)1005Z</t>
    <phoneticPr fontId="1" type="noConversion"/>
  </si>
  <si>
    <t>(2025.3.13)1005Z</t>
    <phoneticPr fontId="1" type="noConversion"/>
  </si>
  <si>
    <t>2025Nov</t>
    <phoneticPr fontId="1" type="noConversion"/>
  </si>
  <si>
    <t>2025Sep</t>
    <phoneticPr fontId="1" type="noConversion"/>
  </si>
  <si>
    <t>(2025.05)1005Z</t>
    <phoneticPr fontId="1" type="noConversion"/>
  </si>
  <si>
    <t>0+1</t>
    <phoneticPr fontId="1" type="noConversion"/>
  </si>
  <si>
    <t>113B0232</t>
  </si>
  <si>
    <t>新型第M669911號</t>
  </si>
  <si>
    <t>以大型語言模型來分析車站土建工程排程以自動化建立四維建築資訊模型的自動分析建模結構</t>
  </si>
  <si>
    <t>113B0234</t>
  </si>
  <si>
    <t>新型第M669558號</t>
  </si>
  <si>
    <t>2025.4.21~
2034.12.30</t>
  </si>
  <si>
    <t>113B0238</t>
  </si>
  <si>
    <t>新型第M669563號</t>
  </si>
  <si>
    <t>深開挖施工數據預測系統</t>
  </si>
  <si>
    <t>113B0239</t>
  </si>
  <si>
    <t>新型第M668274號</t>
  </si>
  <si>
    <t>自動化指標配置系統</t>
  </si>
  <si>
    <t>2025.3.21~
2034.12.30</t>
  </si>
  <si>
    <t>0+1</t>
    <phoneticPr fontId="1" type="noConversion"/>
  </si>
  <si>
    <t>5075Z</t>
    <phoneticPr fontId="1" type="noConversion"/>
  </si>
  <si>
    <t>02</t>
    <phoneticPr fontId="1" type="noConversion"/>
  </si>
  <si>
    <t>113B0361</t>
    <phoneticPr fontId="1" type="noConversion"/>
  </si>
  <si>
    <t>產業網絡分析方法及系統</t>
    <phoneticPr fontId="1" type="noConversion"/>
  </si>
  <si>
    <t>產業群聚分析方法及系統</t>
    <phoneticPr fontId="1" type="noConversion"/>
  </si>
  <si>
    <t>新型第M667484號</t>
    <phoneticPr fontId="1" type="noConversion"/>
  </si>
  <si>
    <t>產業群聚分析系統</t>
    <phoneticPr fontId="1" type="noConversion"/>
  </si>
  <si>
    <t>2025.03.01~
2034.12.05</t>
    <phoneticPr fontId="1" type="noConversion"/>
  </si>
  <si>
    <t>產業網絡分析系統</t>
    <phoneticPr fontId="1" type="noConversion"/>
  </si>
  <si>
    <t>新型第M667843號</t>
    <phoneticPr fontId="1" type="noConversion"/>
  </si>
  <si>
    <t>2025/5/19
2025/7/18</t>
    <phoneticPr fontId="1" type="noConversion"/>
  </si>
  <si>
    <t>114B0256</t>
    <phoneticPr fontId="1" type="noConversion"/>
  </si>
  <si>
    <t>產業群聚分析方法及系統</t>
    <phoneticPr fontId="1" type="noConversion"/>
  </si>
  <si>
    <t>1005Z(202509申復)</t>
    <phoneticPr fontId="1" type="noConversion"/>
  </si>
  <si>
    <t>(2025.9.16)1005Z</t>
    <phoneticPr fontId="1" type="noConversion"/>
  </si>
  <si>
    <t>2026July</t>
    <phoneticPr fontId="1" type="noConversion"/>
  </si>
  <si>
    <t>(2025.09)1005Z</t>
    <phoneticPr fontId="1" type="noConversion"/>
  </si>
  <si>
    <t>(2025.10.07)1005Z</t>
    <phoneticPr fontId="1" type="noConversion"/>
  </si>
  <si>
    <t>2027Sep</t>
    <phoneticPr fontId="1" type="noConversion"/>
  </si>
  <si>
    <t>2027Jan</t>
    <phoneticPr fontId="1" type="noConversion"/>
  </si>
  <si>
    <t>2027Feb</t>
    <phoneticPr fontId="1" type="noConversion"/>
  </si>
  <si>
    <t>2026May</t>
    <phoneticPr fontId="1" type="noConversion"/>
  </si>
  <si>
    <t>2027Dec</t>
    <phoneticPr fontId="1" type="noConversion"/>
  </si>
  <si>
    <t>2026Oct</t>
    <phoneticPr fontId="1" type="noConversion"/>
  </si>
  <si>
    <t>2027Mae</t>
    <phoneticPr fontId="1" type="noConversion"/>
  </si>
  <si>
    <t>2026Apr</t>
    <phoneticPr fontId="1" type="noConversion"/>
  </si>
  <si>
    <t>2026Jul</t>
    <phoneticPr fontId="1" type="noConversion"/>
  </si>
  <si>
    <t>2026Feb</t>
    <phoneticPr fontId="1" type="noConversion"/>
  </si>
  <si>
    <t>2027Mar</t>
    <phoneticPr fontId="1" type="noConversion"/>
  </si>
  <si>
    <t>自動化排水設計的結構</t>
    <phoneticPr fontId="1" type="noConversion"/>
  </si>
  <si>
    <t>自動化排水設計的方法及其系統</t>
    <phoneticPr fontId="1" type="noConversion"/>
  </si>
  <si>
    <t>發明第I900386號</t>
    <phoneticPr fontId="1" type="noConversion"/>
  </si>
  <si>
    <t>2025.10.1~
2044.12.30</t>
    <phoneticPr fontId="1" type="noConversion"/>
  </si>
  <si>
    <t>0+1</t>
    <phoneticPr fontId="1" type="noConversion"/>
  </si>
  <si>
    <t>新型第M670913號</t>
    <phoneticPr fontId="1" type="noConversion"/>
  </si>
  <si>
    <t>透過碳排以計算捷運工程單位造價的碳排估算系統</t>
    <phoneticPr fontId="1" type="noConversion"/>
  </si>
  <si>
    <t>2025.06.01~
2034.12.30</t>
    <phoneticPr fontId="1" type="noConversion"/>
  </si>
  <si>
    <t>2025.04.21~
2034.12.30</t>
    <phoneticPr fontId="1" type="noConversion"/>
  </si>
  <si>
    <t>2025.05.1~
2034.12.30</t>
    <phoneticPr fontId="1" type="noConversion"/>
  </si>
  <si>
    <t>發明第I902064號</t>
    <phoneticPr fontId="1" type="noConversion"/>
  </si>
  <si>
    <t>2025.10.21~
2034.11.19</t>
    <phoneticPr fontId="1" type="noConversion"/>
  </si>
  <si>
    <t>113B0362</t>
    <phoneticPr fontId="1" type="noConversion"/>
  </si>
  <si>
    <t>2025</t>
    <phoneticPr fontId="1" type="noConversion"/>
  </si>
  <si>
    <t>(2025.12.03)1005Z</t>
    <phoneticPr fontId="1" type="noConversion"/>
  </si>
  <si>
    <t>(2025)5075Z</t>
    <phoneticPr fontId="1" type="noConversion"/>
  </si>
  <si>
    <t>1005Z(202505申復)
1005Z(202507再審查)
1005Z(202512修正)</t>
    <phoneticPr fontId="1" type="noConversion"/>
  </si>
  <si>
    <t>113B0364</t>
    <phoneticPr fontId="1" type="noConversion"/>
  </si>
  <si>
    <t>(2025.12)1005Z</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</si>
</sst>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m&quot;月&quot;d&quot;日&quot;;@"/>
    <numFmt numFmtId="177" formatCode="m&quot;月&quot;d&quot;日&quot;"/>
  </numFmts>
  <fonts count="22" x14ac:knownFonts="1">
    <font>
      <sz val="12"/>
      <color theme="1"/>
      <name val="新細明體"/>
      <family val="2"/>
      <charset val="136"/>
      <scheme val="minor"/>
    </font>
    <font>
      <sz val="9"/>
      <name val="新細明體"/>
      <family val="2"/>
      <charset val="136"/>
      <scheme val="minor"/>
    </font>
    <font>
      <sz val="12"/>
      <color theme="1"/>
      <name val="新細明體"/>
      <family val="1"/>
      <charset val="136"/>
      <scheme val="minor"/>
    </font>
    <font>
      <sz val="12"/>
      <color theme="1"/>
      <name val="Times New Roman"/>
      <family val="1"/>
    </font>
    <font>
      <sz val="12"/>
      <color theme="1"/>
      <name val="新細明體"/>
      <family val="1"/>
      <charset val="136"/>
    </font>
    <font>
      <sz val="10"/>
      <color theme="1"/>
      <name val="新細明體"/>
      <family val="1"/>
      <charset val="136"/>
      <scheme val="minor"/>
    </font>
    <font>
      <sz val="12"/>
      <name val="新細明體"/>
      <family val="1"/>
      <charset val="136"/>
      <scheme val="minor"/>
    </font>
    <font>
      <b/>
      <sz val="11"/>
      <color rgb="FFFF0000"/>
      <name val="新細明體"/>
      <family val="1"/>
      <charset val="136"/>
      <scheme val="minor"/>
    </font>
    <font>
      <b/>
      <sz val="10"/>
      <color theme="1"/>
      <name val="新細明體"/>
      <family val="1"/>
      <charset val="136"/>
      <scheme val="minor"/>
    </font>
    <font>
      <b/>
      <sz val="12"/>
      <color theme="1"/>
      <name val="新細明體"/>
      <family val="1"/>
      <charset val="136"/>
      <scheme val="minor"/>
    </font>
    <font>
      <b/>
      <sz val="14"/>
      <color rgb="FFFFFF00"/>
      <name val="新細明體"/>
      <family val="1"/>
      <charset val="136"/>
      <scheme val="minor"/>
    </font>
    <font>
      <b/>
      <sz val="12"/>
      <color rgb="FFFF0000"/>
      <name val="新細明體"/>
      <family val="1"/>
      <charset val="136"/>
      <scheme val="minor"/>
    </font>
    <font>
      <sz val="11"/>
      <color theme="1"/>
      <name val="新細明體"/>
      <family val="1"/>
      <charset val="136"/>
      <scheme val="minor"/>
    </font>
    <font>
      <sz val="12"/>
      <color rgb="FF0000FF"/>
      <name val="新細明體"/>
      <family val="1"/>
      <charset val="136"/>
      <scheme val="minor"/>
    </font>
    <font>
      <sz val="10"/>
      <color rgb="FF0000FF"/>
      <name val="新細明體"/>
      <family val="1"/>
      <charset val="136"/>
      <scheme val="minor"/>
    </font>
    <font>
      <sz val="11"/>
      <color rgb="FF0000FF"/>
      <name val="新細明體"/>
      <family val="1"/>
      <charset val="136"/>
      <scheme val="minor"/>
    </font>
    <font>
      <b/>
      <sz val="12"/>
      <name val="新細明體"/>
      <family val="1"/>
      <charset val="136"/>
      <scheme val="minor"/>
    </font>
    <font>
      <sz val="12"/>
      <color rgb="FF00B050"/>
      <name val="新細明體"/>
      <family val="1"/>
      <charset val="136"/>
      <scheme val="minor"/>
    </font>
    <font>
      <sz val="10"/>
      <color rgb="FF00B050"/>
      <name val="新細明體"/>
      <family val="1"/>
      <charset val="136"/>
      <scheme val="minor"/>
    </font>
    <font>
      <sz val="12"/>
      <color rgb="FFFF0000"/>
      <name val="新細明體"/>
      <family val="1"/>
      <charset val="136"/>
      <scheme val="minor"/>
    </font>
    <font>
      <b/>
      <sz val="14"/>
      <name val="新細明體"/>
      <family val="1"/>
      <charset val="136"/>
      <scheme val="minor"/>
    </font>
    <font>
      <sz val="10"/>
      <color rgb="FFFF0000"/>
      <name val="新細明體"/>
      <family val="1"/>
      <charset val="136"/>
      <scheme val="minor"/>
    </font>
  </fonts>
  <fills count="7">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0" tint="-0.49998474074526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142">
    <xf numFmtId="0" fontId="0" fillId="0" borderId="0" xfId="0">
      <alignment vertical="center"/>
    </xf>
    <xf numFmtId="0" fontId="2" fillId="0" borderId="0" xfId="0" applyFont="1">
      <alignment vertical="center"/>
    </xf>
    <xf numFmtId="0" fontId="3" fillId="2" borderId="1" xfId="0" applyFont="1" applyFill="1" applyBorder="1" applyAlignment="1">
      <alignment vertical="center" wrapText="1"/>
    </xf>
    <xf numFmtId="0" fontId="5" fillId="0" borderId="0" xfId="0" applyFont="1">
      <alignment vertical="center"/>
    </xf>
    <xf numFmtId="0" fontId="5" fillId="0" borderId="0" xfId="0" applyFont="1" applyAlignment="1">
      <alignment horizontal="center" vertical="center"/>
    </xf>
    <xf numFmtId="0" fontId="5" fillId="0" borderId="1" xfId="0" applyFont="1" applyBorder="1" applyAlignment="1">
      <alignment horizontal="center" vertical="center" wrapText="1"/>
    </xf>
    <xf numFmtId="0" fontId="2" fillId="0" borderId="0" xfId="0" applyFont="1" applyAlignment="1">
      <alignment horizontal="center" vertical="center" wrapText="1"/>
    </xf>
    <xf numFmtId="49" fontId="2" fillId="0" borderId="1" xfId="0" applyNumberFormat="1"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lignment vertical="center"/>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1" xfId="0" applyFont="1" applyFill="1" applyBorder="1">
      <alignment vertical="center"/>
    </xf>
    <xf numFmtId="49" fontId="2" fillId="2" borderId="1" xfId="0" applyNumberFormat="1" applyFont="1" applyFill="1" applyBorder="1" applyAlignment="1">
      <alignment vertical="center" wrapText="1"/>
    </xf>
    <xf numFmtId="49" fontId="2" fillId="0" borderId="1" xfId="0" applyNumberFormat="1" applyFont="1" applyBorder="1" applyAlignment="1">
      <alignment vertical="center" wrapText="1"/>
    </xf>
    <xf numFmtId="0" fontId="2" fillId="0" borderId="0" xfId="0" applyFont="1" applyAlignment="1">
      <alignment horizontal="center" vertical="center"/>
    </xf>
    <xf numFmtId="0" fontId="2" fillId="2" borderId="0" xfId="0" applyFont="1" applyFill="1">
      <alignment vertical="center"/>
    </xf>
    <xf numFmtId="49" fontId="2" fillId="0" borderId="1" xfId="0" applyNumberFormat="1" applyFont="1" applyBorder="1" applyAlignment="1">
      <alignment horizontal="center" vertical="center"/>
    </xf>
    <xf numFmtId="49" fontId="2" fillId="2" borderId="1" xfId="0" applyNumberFormat="1" applyFont="1" applyFill="1" applyBorder="1" applyAlignment="1">
      <alignment horizontal="center" vertical="center"/>
    </xf>
    <xf numFmtId="0" fontId="7" fillId="0" borderId="0" xfId="0" applyFont="1">
      <alignment vertical="center"/>
    </xf>
    <xf numFmtId="0" fontId="2" fillId="0" borderId="1" xfId="0" applyFont="1" applyBorder="1" applyAlignment="1">
      <alignment horizontal="left" vertical="center"/>
    </xf>
    <xf numFmtId="0" fontId="2" fillId="2" borderId="1" xfId="0" applyFont="1" applyFill="1" applyBorder="1" applyAlignment="1">
      <alignment horizontal="left" vertical="center"/>
    </xf>
    <xf numFmtId="0" fontId="8" fillId="0" borderId="0" xfId="0" applyFont="1">
      <alignment vertical="center"/>
    </xf>
    <xf numFmtId="0" fontId="8" fillId="0" borderId="1" xfId="0" applyFont="1" applyBorder="1" applyAlignment="1">
      <alignment horizontal="center" vertical="center" wrapText="1"/>
    </xf>
    <xf numFmtId="0" fontId="9" fillId="0" borderId="1" xfId="0" applyFont="1" applyBorder="1" applyAlignment="1">
      <alignment vertical="center" wrapText="1"/>
    </xf>
    <xf numFmtId="0" fontId="9" fillId="2" borderId="1" xfId="0" applyFont="1" applyFill="1" applyBorder="1" applyAlignment="1">
      <alignment vertical="center" wrapText="1"/>
    </xf>
    <xf numFmtId="0" fontId="9" fillId="0" borderId="1" xfId="0" applyFont="1" applyBorder="1">
      <alignment vertical="center"/>
    </xf>
    <xf numFmtId="0" fontId="9" fillId="2" borderId="1" xfId="0" applyFont="1" applyFill="1" applyBorder="1">
      <alignment vertical="center"/>
    </xf>
    <xf numFmtId="0" fontId="9" fillId="0" borderId="0" xfId="0" applyFont="1">
      <alignment vertical="center"/>
    </xf>
    <xf numFmtId="0" fontId="9" fillId="0" borderId="1" xfId="0" applyFont="1" applyBorder="1" applyAlignment="1">
      <alignment horizontal="left" vertical="center"/>
    </xf>
    <xf numFmtId="0" fontId="9" fillId="2" borderId="1" xfId="0" applyFont="1" applyFill="1" applyBorder="1" applyAlignment="1">
      <alignment horizontal="left" vertical="center"/>
    </xf>
    <xf numFmtId="0" fontId="5" fillId="0" borderId="0" xfId="0" applyFont="1" applyAlignment="1">
      <alignment horizontal="left" vertical="center"/>
    </xf>
    <xf numFmtId="0" fontId="2" fillId="0" borderId="1" xfId="0" applyFont="1" applyBorder="1" applyAlignment="1">
      <alignment horizontal="left" vertical="center" wrapText="1"/>
    </xf>
    <xf numFmtId="0" fontId="2" fillId="2" borderId="1" xfId="0" applyFont="1" applyFill="1" applyBorder="1" applyAlignment="1">
      <alignment horizontal="left" vertical="center" wrapText="1"/>
    </xf>
    <xf numFmtId="14" fontId="2" fillId="0" borderId="1" xfId="0" applyNumberFormat="1" applyFont="1" applyBorder="1" applyAlignment="1">
      <alignment horizontal="left" vertical="center" wrapText="1"/>
    </xf>
    <xf numFmtId="0" fontId="2" fillId="0" borderId="0" xfId="0" applyFont="1" applyAlignment="1">
      <alignment horizontal="left" vertical="center"/>
    </xf>
    <xf numFmtId="14" fontId="2" fillId="0" borderId="1" xfId="0" applyNumberFormat="1" applyFont="1" applyBorder="1" applyAlignment="1">
      <alignment horizontal="left" vertical="center"/>
    </xf>
    <xf numFmtId="0" fontId="8" fillId="0" borderId="0" xfId="0" applyFont="1" applyAlignment="1">
      <alignment horizontal="left" vertical="center"/>
    </xf>
    <xf numFmtId="0" fontId="8" fillId="0" borderId="1" xfId="0" applyFont="1" applyBorder="1" applyAlignment="1">
      <alignment horizontal="left" vertical="center" wrapText="1"/>
    </xf>
    <xf numFmtId="0" fontId="9" fillId="0" borderId="0" xfId="0" applyFont="1" applyAlignment="1">
      <alignment horizontal="left" vertical="center"/>
    </xf>
    <xf numFmtId="0" fontId="0" fillId="0" borderId="0" xfId="0" pivotButton="1">
      <alignment vertical="center"/>
    </xf>
    <xf numFmtId="0" fontId="0" fillId="0" borderId="0" xfId="0" applyAlignment="1">
      <alignment horizontal="left" vertical="center"/>
    </xf>
    <xf numFmtId="0" fontId="0" fillId="0" borderId="0" xfId="0" applyAlignment="1">
      <alignment horizontal="left" vertical="center" indent="1"/>
    </xf>
    <xf numFmtId="0" fontId="9" fillId="4" borderId="1" xfId="0" applyFont="1" applyFill="1" applyBorder="1">
      <alignment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right" vertical="center"/>
    </xf>
    <xf numFmtId="0" fontId="0" fillId="3" borderId="1" xfId="0" applyFill="1" applyBorder="1" applyAlignment="1">
      <alignment horizontal="right" vertical="center"/>
    </xf>
    <xf numFmtId="0" fontId="10" fillId="5" borderId="1" xfId="0" applyFont="1" applyFill="1" applyBorder="1">
      <alignment vertical="center"/>
    </xf>
    <xf numFmtId="0" fontId="6" fillId="2" borderId="1" xfId="0" applyFont="1" applyFill="1" applyBorder="1">
      <alignment vertical="center"/>
    </xf>
    <xf numFmtId="14" fontId="5" fillId="0" borderId="1" xfId="0" applyNumberFormat="1" applyFont="1" applyBorder="1" applyAlignment="1">
      <alignment horizontal="center" vertical="center" wrapText="1"/>
    </xf>
    <xf numFmtId="0" fontId="13" fillId="0" borderId="1" xfId="0" applyFont="1" applyBorder="1">
      <alignment vertical="center"/>
    </xf>
    <xf numFmtId="0" fontId="13" fillId="0" borderId="1" xfId="0" applyFont="1" applyBorder="1" applyAlignment="1">
      <alignment horizontal="left" vertical="center" wrapText="1"/>
    </xf>
    <xf numFmtId="49" fontId="13" fillId="0" borderId="1" xfId="0" applyNumberFormat="1" applyFont="1" applyBorder="1" applyAlignment="1">
      <alignment horizontal="left" vertical="center" wrapText="1"/>
    </xf>
    <xf numFmtId="49" fontId="13" fillId="2" borderId="1" xfId="0" applyNumberFormat="1" applyFont="1" applyFill="1" applyBorder="1" applyAlignment="1">
      <alignment horizontal="left" vertical="center" wrapText="1"/>
    </xf>
    <xf numFmtId="0" fontId="13" fillId="2" borderId="1" xfId="0" applyFont="1" applyFill="1" applyBorder="1">
      <alignment vertical="center"/>
    </xf>
    <xf numFmtId="0" fontId="13" fillId="0" borderId="1" xfId="0" applyFont="1" applyBorder="1" applyAlignment="1">
      <alignment vertical="center" wrapText="1"/>
    </xf>
    <xf numFmtId="49" fontId="13" fillId="2" borderId="1" xfId="0" applyNumberFormat="1" applyFont="1" applyFill="1" applyBorder="1" applyAlignment="1">
      <alignment vertical="center" wrapText="1"/>
    </xf>
    <xf numFmtId="0" fontId="16" fillId="0" borderId="1" xfId="0" applyFont="1" applyBorder="1" applyAlignment="1">
      <alignment horizontal="left" vertical="center"/>
    </xf>
    <xf numFmtId="14" fontId="5" fillId="0" borderId="0" xfId="0" applyNumberFormat="1" applyFont="1">
      <alignment vertical="center"/>
    </xf>
    <xf numFmtId="14" fontId="5" fillId="0" borderId="1" xfId="0" applyNumberFormat="1" applyFont="1" applyBorder="1" applyAlignment="1">
      <alignment vertical="center" wrapText="1"/>
    </xf>
    <xf numFmtId="14" fontId="5" fillId="2" borderId="1" xfId="0" applyNumberFormat="1" applyFont="1" applyFill="1" applyBorder="1" applyAlignment="1">
      <alignment vertical="center" wrapText="1"/>
    </xf>
    <xf numFmtId="14" fontId="6" fillId="0" borderId="1" xfId="0" applyNumberFormat="1" applyFont="1" applyBorder="1" applyAlignment="1">
      <alignment vertical="center" wrapText="1"/>
    </xf>
    <xf numFmtId="14" fontId="15" fillId="0" borderId="1" xfId="0" applyNumberFormat="1" applyFont="1" applyBorder="1">
      <alignment vertical="center"/>
    </xf>
    <xf numFmtId="14" fontId="12" fillId="0" borderId="1" xfId="0" applyNumberFormat="1" applyFont="1" applyBorder="1" applyAlignment="1">
      <alignment vertical="center" wrapText="1"/>
    </xf>
    <xf numFmtId="14" fontId="12" fillId="2" borderId="1" xfId="0" applyNumberFormat="1" applyFont="1" applyFill="1" applyBorder="1">
      <alignment vertical="center"/>
    </xf>
    <xf numFmtId="14" fontId="15" fillId="2" borderId="1" xfId="0" applyNumberFormat="1" applyFont="1" applyFill="1" applyBorder="1">
      <alignment vertical="center"/>
    </xf>
    <xf numFmtId="14" fontId="14" fillId="0" borderId="1" xfId="0" applyNumberFormat="1" applyFont="1" applyBorder="1" applyAlignment="1">
      <alignment vertical="center" wrapText="1"/>
    </xf>
    <xf numFmtId="14" fontId="5" fillId="2" borderId="1" xfId="0" applyNumberFormat="1" applyFont="1" applyFill="1" applyBorder="1">
      <alignment vertical="center"/>
    </xf>
    <xf numFmtId="14" fontId="5" fillId="0" borderId="1" xfId="0" applyNumberFormat="1" applyFont="1" applyBorder="1">
      <alignment vertical="center"/>
    </xf>
    <xf numFmtId="176" fontId="5" fillId="0" borderId="0" xfId="0" applyNumberFormat="1" applyFont="1" applyAlignment="1">
      <alignment horizontal="center" vertical="center"/>
    </xf>
    <xf numFmtId="176" fontId="5" fillId="0" borderId="1" xfId="0" applyNumberFormat="1" applyFont="1" applyBorder="1" applyAlignment="1">
      <alignment horizontal="center" vertical="center" wrapText="1"/>
    </xf>
    <xf numFmtId="176" fontId="2" fillId="0" borderId="1" xfId="0" applyNumberFormat="1" applyFont="1" applyBorder="1" applyAlignment="1">
      <alignment horizontal="center" vertical="center"/>
    </xf>
    <xf numFmtId="176" fontId="2" fillId="2" borderId="1" xfId="0" applyNumberFormat="1" applyFont="1" applyFill="1" applyBorder="1" applyAlignment="1">
      <alignment horizontal="center" vertical="center" wrapText="1"/>
    </xf>
    <xf numFmtId="176" fontId="2" fillId="0" borderId="1" xfId="0" applyNumberFormat="1" applyFont="1" applyBorder="1" applyAlignment="1">
      <alignment horizontal="center" vertical="center" wrapText="1"/>
    </xf>
    <xf numFmtId="176" fontId="2" fillId="2" borderId="1" xfId="0" applyNumberFormat="1" applyFont="1" applyFill="1" applyBorder="1" applyAlignment="1">
      <alignment horizontal="center" vertical="center"/>
    </xf>
    <xf numFmtId="176" fontId="2" fillId="0" borderId="0" xfId="0" applyNumberFormat="1" applyFont="1" applyAlignment="1">
      <alignment horizontal="center" vertical="center"/>
    </xf>
    <xf numFmtId="0" fontId="2" fillId="0" borderId="0" xfId="0" applyFont="1" applyAlignment="1">
      <alignment horizontal="right" vertical="center"/>
    </xf>
    <xf numFmtId="177" fontId="2" fillId="2" borderId="1" xfId="0" applyNumberFormat="1" applyFont="1" applyFill="1" applyBorder="1" applyAlignment="1">
      <alignment horizontal="center" vertical="center"/>
    </xf>
    <xf numFmtId="14" fontId="14" fillId="0" borderId="1" xfId="0" applyNumberFormat="1" applyFont="1" applyBorder="1">
      <alignment vertical="center"/>
    </xf>
    <xf numFmtId="0" fontId="16" fillId="2" borderId="1" xfId="0" applyFont="1" applyFill="1" applyBorder="1" applyAlignment="1">
      <alignment horizontal="left" vertical="center"/>
    </xf>
    <xf numFmtId="0" fontId="11" fillId="2" borderId="0" xfId="0" applyFont="1" applyFill="1">
      <alignment vertical="center"/>
    </xf>
    <xf numFmtId="0" fontId="17" fillId="0" borderId="1" xfId="0" applyFont="1" applyBorder="1">
      <alignment vertical="center"/>
    </xf>
    <xf numFmtId="0" fontId="17" fillId="2" borderId="1" xfId="0" applyFont="1" applyFill="1" applyBorder="1">
      <alignment vertical="center"/>
    </xf>
    <xf numFmtId="0" fontId="17" fillId="4" borderId="1" xfId="0" applyFont="1" applyFill="1" applyBorder="1">
      <alignment vertical="center"/>
    </xf>
    <xf numFmtId="49" fontId="5" fillId="0" borderId="0" xfId="0" applyNumberFormat="1" applyFont="1">
      <alignment vertical="center"/>
    </xf>
    <xf numFmtId="49" fontId="5" fillId="0" borderId="1" xfId="0" applyNumberFormat="1" applyFont="1" applyBorder="1" applyAlignment="1">
      <alignment horizontal="center" vertical="center" wrapText="1"/>
    </xf>
    <xf numFmtId="49" fontId="2" fillId="2" borderId="1" xfId="0" applyNumberFormat="1" applyFont="1" applyFill="1" applyBorder="1">
      <alignment vertical="center"/>
    </xf>
    <xf numFmtId="49" fontId="13" fillId="2" borderId="1" xfId="0" applyNumberFormat="1" applyFont="1" applyFill="1" applyBorder="1">
      <alignment vertical="center"/>
    </xf>
    <xf numFmtId="49" fontId="6" fillId="0" borderId="1" xfId="0" applyNumberFormat="1" applyFont="1" applyBorder="1" applyAlignment="1">
      <alignment vertical="center" wrapText="1"/>
    </xf>
    <xf numFmtId="49" fontId="13" fillId="0" borderId="1" xfId="0" applyNumberFormat="1" applyFont="1" applyBorder="1" applyAlignment="1">
      <alignment vertical="center" wrapText="1"/>
    </xf>
    <xf numFmtId="49" fontId="13" fillId="0" borderId="1" xfId="0" applyNumberFormat="1" applyFont="1" applyBorder="1">
      <alignment vertical="center"/>
    </xf>
    <xf numFmtId="49" fontId="2" fillId="0" borderId="1" xfId="0" applyNumberFormat="1" applyFont="1" applyBorder="1">
      <alignment vertical="center"/>
    </xf>
    <xf numFmtId="0" fontId="16" fillId="0" borderId="0" xfId="0" applyFont="1">
      <alignment vertical="center"/>
    </xf>
    <xf numFmtId="0" fontId="16" fillId="0" borderId="1" xfId="0" applyFont="1" applyBorder="1" applyAlignment="1">
      <alignment horizontal="left" vertical="center" wrapText="1"/>
    </xf>
    <xf numFmtId="0" fontId="6" fillId="2" borderId="1" xfId="0" applyFont="1" applyFill="1" applyBorder="1" applyAlignment="1">
      <alignment horizontal="left" vertical="center" wrapText="1"/>
    </xf>
    <xf numFmtId="0" fontId="6" fillId="0" borderId="1" xfId="0" applyFont="1" applyBorder="1" applyAlignment="1">
      <alignment horizontal="left" vertical="center" wrapText="1"/>
    </xf>
    <xf numFmtId="0" fontId="11" fillId="0" borderId="1" xfId="0" applyFont="1" applyBorder="1" applyAlignment="1">
      <alignment horizontal="left" vertical="center" wrapText="1"/>
    </xf>
    <xf numFmtId="0" fontId="19" fillId="0" borderId="1" xfId="0" applyFont="1" applyBorder="1" applyAlignment="1">
      <alignment horizontal="left" vertical="center"/>
    </xf>
    <xf numFmtId="49" fontId="2" fillId="2" borderId="1" xfId="0" applyNumberFormat="1" applyFont="1" applyFill="1" applyBorder="1" applyAlignment="1">
      <alignment horizontal="left" vertical="center" wrapText="1"/>
    </xf>
    <xf numFmtId="0" fontId="11" fillId="2" borderId="1" xfId="0" applyFont="1" applyFill="1" applyBorder="1" applyAlignment="1">
      <alignment horizontal="left" vertical="center"/>
    </xf>
    <xf numFmtId="14" fontId="15" fillId="2" borderId="1" xfId="0" applyNumberFormat="1" applyFont="1" applyFill="1" applyBorder="1" applyAlignment="1">
      <alignment vertical="center" wrapText="1"/>
    </xf>
    <xf numFmtId="0" fontId="2" fillId="4" borderId="1" xfId="0" applyFont="1" applyFill="1" applyBorder="1" applyAlignment="1">
      <alignment vertical="center" wrapText="1"/>
    </xf>
    <xf numFmtId="49" fontId="5" fillId="0" borderId="1" xfId="0" applyNumberFormat="1" applyFont="1" applyBorder="1">
      <alignment vertical="center"/>
    </xf>
    <xf numFmtId="49" fontId="5" fillId="2" borderId="1" xfId="0" applyNumberFormat="1" applyFont="1" applyFill="1" applyBorder="1">
      <alignment vertical="center"/>
    </xf>
    <xf numFmtId="0" fontId="2" fillId="4" borderId="1" xfId="0" applyFont="1" applyFill="1" applyBorder="1" applyAlignment="1">
      <alignment horizontal="center" vertical="center"/>
    </xf>
    <xf numFmtId="0" fontId="19" fillId="2" borderId="1" xfId="0" applyFont="1" applyFill="1" applyBorder="1" applyAlignment="1">
      <alignment horizontal="left" vertical="center"/>
    </xf>
    <xf numFmtId="49" fontId="2" fillId="3" borderId="1" xfId="0" applyNumberFormat="1" applyFont="1" applyFill="1" applyBorder="1" applyAlignment="1">
      <alignment vertical="center" wrapText="1"/>
    </xf>
    <xf numFmtId="0" fontId="2" fillId="6" borderId="1" xfId="0" applyFont="1" applyFill="1" applyBorder="1" applyAlignment="1">
      <alignment horizontal="center" vertical="center"/>
    </xf>
    <xf numFmtId="49" fontId="2" fillId="6" borderId="1" xfId="0" applyNumberFormat="1" applyFont="1" applyFill="1" applyBorder="1" applyAlignment="1">
      <alignment horizontal="center" vertical="center"/>
    </xf>
    <xf numFmtId="0" fontId="2" fillId="6" borderId="1" xfId="0" applyFont="1" applyFill="1" applyBorder="1" applyAlignment="1">
      <alignment vertical="center" wrapText="1"/>
    </xf>
    <xf numFmtId="0" fontId="2" fillId="6" borderId="1" xfId="0" applyFont="1" applyFill="1" applyBorder="1" applyAlignment="1">
      <alignment horizontal="center" vertical="center" wrapText="1"/>
    </xf>
    <xf numFmtId="0" fontId="2" fillId="6" borderId="1" xfId="0" applyFont="1" applyFill="1" applyBorder="1" applyAlignment="1">
      <alignment horizontal="left" vertical="center"/>
    </xf>
    <xf numFmtId="0" fontId="2" fillId="6" borderId="1" xfId="0" applyFont="1" applyFill="1" applyBorder="1">
      <alignment vertical="center"/>
    </xf>
    <xf numFmtId="0" fontId="9" fillId="6" borderId="1" xfId="0" applyFont="1" applyFill="1" applyBorder="1" applyAlignment="1">
      <alignment horizontal="left" vertical="center"/>
    </xf>
    <xf numFmtId="0" fontId="9" fillId="6" borderId="1" xfId="0" applyFont="1" applyFill="1" applyBorder="1">
      <alignment vertical="center"/>
    </xf>
    <xf numFmtId="176" fontId="2" fillId="6" borderId="1" xfId="0" applyNumberFormat="1" applyFont="1" applyFill="1" applyBorder="1" applyAlignment="1">
      <alignment horizontal="center" vertical="center"/>
    </xf>
    <xf numFmtId="14" fontId="15" fillId="6" borderId="1" xfId="0" applyNumberFormat="1" applyFont="1" applyFill="1" applyBorder="1" applyAlignment="1">
      <alignment vertical="center" wrapText="1"/>
    </xf>
    <xf numFmtId="0" fontId="2" fillId="6" borderId="0" xfId="0" applyFont="1" applyFill="1">
      <alignment vertical="center"/>
    </xf>
    <xf numFmtId="0" fontId="20" fillId="5" borderId="1" xfId="0" applyFont="1" applyFill="1" applyBorder="1">
      <alignment vertical="center"/>
    </xf>
    <xf numFmtId="0" fontId="20" fillId="5" borderId="4" xfId="0" applyFont="1" applyFill="1" applyBorder="1">
      <alignment vertical="center"/>
    </xf>
    <xf numFmtId="0" fontId="20" fillId="5" borderId="3" xfId="0" applyFont="1" applyFill="1" applyBorder="1">
      <alignmen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6" fillId="3" borderId="0" xfId="0" applyFont="1" applyFill="1">
      <alignment vertical="center"/>
    </xf>
    <xf numFmtId="0" fontId="16" fillId="2" borderId="1" xfId="0" applyFont="1" applyFill="1" applyBorder="1" applyAlignment="1">
      <alignment vertical="center" wrapText="1"/>
    </xf>
    <xf numFmtId="0" fontId="6" fillId="0" borderId="1" xfId="0" applyFont="1" applyBorder="1">
      <alignment vertical="center"/>
    </xf>
    <xf numFmtId="0" fontId="16" fillId="0" borderId="1" xfId="0" applyFont="1" applyBorder="1">
      <alignment vertical="center"/>
    </xf>
    <xf numFmtId="0" fontId="6" fillId="0" borderId="1" xfId="0" applyFont="1" applyBorder="1" applyAlignment="1">
      <alignment horizontal="left" vertical="center"/>
    </xf>
    <xf numFmtId="0" fontId="16" fillId="2" borderId="1" xfId="0" applyFont="1" applyFill="1" applyBorder="1">
      <alignment vertical="center"/>
    </xf>
    <xf numFmtId="14" fontId="21" fillId="0" borderId="1" xfId="0" applyNumberFormat="1" applyFont="1" applyBorder="1" applyAlignment="1">
      <alignment vertical="center" wrapText="1"/>
    </xf>
    <xf numFmtId="0" fontId="9" fillId="0" borderId="1" xfId="0" applyFont="1" applyBorder="1" applyAlignment="1">
      <alignment horizontal="left" vertical="center" wrapText="1"/>
    </xf>
    <xf numFmtId="0" fontId="13" fillId="2" borderId="2" xfId="0" applyFont="1" applyFill="1" applyBorder="1" applyAlignment="1">
      <alignment horizontal="center" vertical="center"/>
    </xf>
    <xf numFmtId="0" fontId="13" fillId="2" borderId="3"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cellXfs>
  <cellStyles count="1">
    <cellStyle name="一般"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黃琬淇" refreshedDate="45268.540357638885" createdVersion="8" refreshedVersion="8" minRefreshableVersion="3" recordCount="27" xr:uid="{391CAED9-77BB-4589-A5F3-9D42102F5C50}">
  <cacheSource type="worksheet">
    <worksheetSource ref="A2:K30" sheet="工作表1"/>
  </cacheSource>
  <cacheFields count="11">
    <cacheField name="計畫編號" numFmtId="0">
      <sharedItems count="5">
        <s v="5041Z"/>
        <s v="5058Z"/>
        <s v="0404B"/>
        <s v="5055Z"/>
        <s v="0405B"/>
      </sharedItems>
    </cacheField>
    <cacheField name="委外編號" numFmtId="49">
      <sharedItems/>
    </cacheField>
    <cacheField name="項次" numFmtId="0">
      <sharedItems/>
    </cacheField>
    <cacheField name="案件內容" numFmtId="0">
      <sharedItems/>
    </cacheField>
    <cacheField name="申請專利類別" numFmtId="0">
      <sharedItems count="2">
        <s v="發明"/>
        <s v="新型"/>
      </sharedItems>
    </cacheField>
    <cacheField name="狀態" numFmtId="0">
      <sharedItems containsBlank="1" containsMixedTypes="1" containsNumber="1" containsInteger="1" minValue="0" maxValue="3"/>
    </cacheField>
    <cacheField name="答辯紀錄" numFmtId="0">
      <sharedItems containsDate="1" containsBlank="1" containsMixedTypes="1" minDate="2022-12-20T00:00:00" maxDate="2023-07-13T00:00:00"/>
    </cacheField>
    <cacheField name="長江案號" numFmtId="0">
      <sharedItems containsBlank="1"/>
    </cacheField>
    <cacheField name="專利編號" numFmtId="0">
      <sharedItems containsBlank="1"/>
    </cacheField>
    <cacheField name="專利名稱" numFmtId="0">
      <sharedItems containsBlank="1"/>
    </cacheField>
    <cacheField name="專利期間"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s v="01"/>
    <s v="#1-1"/>
    <s v="捷運自動化設計"/>
    <x v="0"/>
    <s v="0+1"/>
    <s v="2022_x000a_2023/4/11"/>
    <s v="110B0048"/>
    <m/>
    <s v="工程自動化設計管理方法及其系統"/>
    <m/>
  </r>
  <r>
    <x v="0"/>
    <s v="01"/>
    <s v="#1-2"/>
    <s v="捷運自動化設計"/>
    <x v="1"/>
    <n v="2"/>
    <m/>
    <s v="110B0049"/>
    <s v="新型第M618628號"/>
    <s v="工程自動化設計管理裝置"/>
    <s v="2021.10.21~_x000a_2031.06.22"/>
  </r>
  <r>
    <x v="0"/>
    <s v="01"/>
    <s v="#2"/>
    <s v="捷運自動化設計-管線工程"/>
    <x v="0"/>
    <n v="2"/>
    <m/>
    <s v="110B0052"/>
    <s v="發明第I782591號"/>
    <s v="管線工程設計方法"/>
    <s v="2022.11.01~_x000a_2041.06.22"/>
  </r>
  <r>
    <x v="0"/>
    <s v="01"/>
    <s v="#3"/>
    <s v="捷運自動化設計-CSD/SEM SinoOH"/>
    <x v="0"/>
    <n v="2"/>
    <m/>
    <s v="110B0053"/>
    <s v="發明第I767764號"/>
    <s v="發明-機電整合介面圖與結構機電介面圖模型化的方法"/>
    <s v="2022.06.11~_x000a_2041.06.22"/>
  </r>
  <r>
    <x v="0"/>
    <s v="01"/>
    <s v="#4"/>
    <s v="捷運自動化設計-深開挖 SinoExcacvation"/>
    <x v="0"/>
    <s v="0+1"/>
    <s v="2022/10/30_x000a_2023"/>
    <s v="110B0054"/>
    <s v="發明第號"/>
    <s v="深開挖工程的自動化分析檢核方法及其系統"/>
    <m/>
  </r>
  <r>
    <x v="0"/>
    <s v="01"/>
    <s v="#5"/>
    <s v="捷運自動化設計-潛盾 SinoTunnel"/>
    <x v="0"/>
    <n v="2"/>
    <d v="2022-12-20T00:00:00"/>
    <s v="110B0055"/>
    <s v="發明第I792399號"/>
    <s v="潛盾隧道工程的自動化分析方法及其系統"/>
    <s v="2023.02.11~_x000a_2041.07.07"/>
  </r>
  <r>
    <x v="0"/>
    <s v="01"/>
    <s v="#6-1"/>
    <s v="自動化決定逃生路徑"/>
    <x v="0"/>
    <n v="2"/>
    <m/>
    <s v="110B0050"/>
    <s v="發明第I793670號"/>
    <s v="自動化逃生路徑產生方法及其系統"/>
    <s v="2023.02.21~_x000a_2041.07.07"/>
  </r>
  <r>
    <x v="0"/>
    <s v="01"/>
    <s v="#6-2"/>
    <s v="自動化決定逃生路徑"/>
    <x v="1"/>
    <n v="3"/>
    <m/>
    <s v="110B0051"/>
    <s v="新型第M621394號"/>
    <s v="自動化逃生路徑產生裝置"/>
    <s v="2021.12.21~_x000a_2031.07.07"/>
  </r>
  <r>
    <x v="1"/>
    <s v="02"/>
    <s v="#1"/>
    <s v="施工期間動態調整智能交通維持"/>
    <x v="0"/>
    <n v="0"/>
    <m/>
    <m/>
    <m/>
    <m/>
    <m/>
  </r>
  <r>
    <x v="1"/>
    <s v="02"/>
    <s v="#2-1"/>
    <s v="設計成果AI語意分析"/>
    <x v="0"/>
    <n v="0"/>
    <m/>
    <s v="111B0140"/>
    <m/>
    <s v="語意分析系統及方法"/>
    <m/>
  </r>
  <r>
    <x v="1"/>
    <s v="02"/>
    <s v="#2-2"/>
    <s v="設計成果AI語意分析"/>
    <x v="1"/>
    <s v="0+1"/>
    <m/>
    <s v="111B0141"/>
    <s v="新型第M644048號"/>
    <s v="語意分析系統"/>
    <m/>
  </r>
  <r>
    <x v="1"/>
    <s v="02"/>
    <s v="#3"/>
    <s v="深開挖施工平台"/>
    <x v="1"/>
    <s v="0+1"/>
    <m/>
    <s v="111B0137"/>
    <s v="新型第M643292號"/>
    <s v="深開挖施工資訊平台"/>
    <m/>
  </r>
  <r>
    <x v="1"/>
    <s v="02"/>
    <s v="#4"/>
    <s v="潛盾隧道施工平台"/>
    <x v="0"/>
    <n v="0"/>
    <m/>
    <s v="111B0136"/>
    <m/>
    <m/>
    <m/>
  </r>
  <r>
    <x v="1"/>
    <s v="02"/>
    <s v="#5-1"/>
    <s v="捷運建築設計自動化與智慧化校核"/>
    <x v="0"/>
    <n v="0"/>
    <m/>
    <s v="111B0138"/>
    <m/>
    <s v="車站建築設計系統及方法"/>
    <m/>
  </r>
  <r>
    <x v="1"/>
    <s v="02"/>
    <s v="#5-2"/>
    <s v="捷運建築設計自動化與智慧化校核"/>
    <x v="1"/>
    <s v="0+1"/>
    <m/>
    <s v="111B0139"/>
    <s v="新型第M641506號"/>
    <s v="車站建築設計系統"/>
    <m/>
  </r>
  <r>
    <x v="1"/>
    <s v="02"/>
    <s v="#6"/>
    <s v="空間配置工具及模型建置"/>
    <x v="0"/>
    <n v="0"/>
    <d v="2023-07-12T00:00:00"/>
    <s v="111B0144"/>
    <m/>
    <s v="車站空間配置方法"/>
    <m/>
  </r>
  <r>
    <x v="2"/>
    <s v="05"/>
    <s v="#1-1"/>
    <s v="利用二維特徵圖例生成三維地下管線與設施"/>
    <x v="0"/>
    <n v="0"/>
    <m/>
    <s v="111B0345"/>
    <m/>
    <s v="三維元件生成系統及其方法"/>
    <m/>
  </r>
  <r>
    <x v="2"/>
    <s v="05"/>
    <s v="#1-2"/>
    <s v="利用二維特徵圖例生成三維地下管線與設施"/>
    <x v="1"/>
    <s v="0+1"/>
    <m/>
    <s v="111B0346"/>
    <s v="新型第M645305號"/>
    <s v="三維元件生成系統"/>
    <m/>
  </r>
  <r>
    <x v="2"/>
    <s v="05"/>
    <s v="#2-1"/>
    <s v="地下管線三維碰撞調整之發法及其系統"/>
    <x v="0"/>
    <n v="0"/>
    <m/>
    <m/>
    <m/>
    <m/>
    <m/>
  </r>
  <r>
    <x v="2"/>
    <s v="05"/>
    <s v="#2-2"/>
    <s v="地下管線三維碰撞調整之發法及其系統"/>
    <x v="1"/>
    <s v="0+1"/>
    <m/>
    <s v="111B0348"/>
    <s v="新型第M643874號"/>
    <s v="三維元件碰撞調整系統"/>
    <s v="2023.07.11~_x000a_2033.4.18"/>
  </r>
  <r>
    <x v="3"/>
    <s v="02"/>
    <s v="#1-1"/>
    <s v="國土規劃地物辨識方法及其系統"/>
    <x v="0"/>
    <n v="0"/>
    <m/>
    <m/>
    <m/>
    <m/>
    <m/>
  </r>
  <r>
    <x v="3"/>
    <s v="02"/>
    <s v="#1-2"/>
    <s v="國土規劃地物辨識方法及其系統"/>
    <x v="1"/>
    <n v="0"/>
    <m/>
    <m/>
    <m/>
    <m/>
    <m/>
  </r>
  <r>
    <x v="3"/>
    <s v="02"/>
    <s v="#2"/>
    <s v="國土規劃地物辨識方法AI訓練學習模型"/>
    <x v="0"/>
    <m/>
    <m/>
    <m/>
    <m/>
    <m/>
    <m/>
  </r>
  <r>
    <x v="4"/>
    <s v="05"/>
    <s v="#1-1"/>
    <s v="排水設施高程與道路縱面設計精準連棟設計方法及其系統"/>
    <x v="1"/>
    <n v="0"/>
    <m/>
    <m/>
    <m/>
    <m/>
    <m/>
  </r>
  <r>
    <x v="4"/>
    <s v="05"/>
    <s v="#1-2"/>
    <s v="排水設施高程與道路縱面設計精準連棟設計方法及其系統"/>
    <x v="0"/>
    <m/>
    <m/>
    <m/>
    <m/>
    <m/>
    <m/>
  </r>
  <r>
    <x v="4"/>
    <s v="05"/>
    <s v="#2-1"/>
    <s v="雨水下水道系統與連接集水井管涵高程連動設計方法及其系統"/>
    <x v="1"/>
    <n v="0"/>
    <m/>
    <m/>
    <m/>
    <m/>
    <m/>
  </r>
  <r>
    <x v="4"/>
    <s v="05"/>
    <s v="#2-2"/>
    <s v="雨水下水道系統與連接集水井管涵高程連動設計方法及其系統"/>
    <x v="0"/>
    <n v="0"/>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CFABA3-93CF-4129-AA15-2B70554BE370}" name="樞紐分析表1" cacheId="0"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3:C19" firstHeaderRow="0" firstDataRow="1" firstDataCol="1"/>
  <pivotFields count="11">
    <pivotField axis="axisRow" showAll="0">
      <items count="6">
        <item x="2"/>
        <item x="0"/>
        <item x="3"/>
        <item x="1"/>
        <item x="4"/>
        <item t="default"/>
      </items>
    </pivotField>
    <pivotField showAll="0"/>
    <pivotField dataField="1" showAll="0"/>
    <pivotField showAll="0"/>
    <pivotField axis="axisRow" showAll="0">
      <items count="3">
        <item x="0"/>
        <item x="1"/>
        <item t="default"/>
      </items>
    </pivotField>
    <pivotField showAll="0"/>
    <pivotField showAll="0"/>
    <pivotField showAll="0"/>
    <pivotField dataField="1" showAll="0"/>
    <pivotField showAll="0"/>
    <pivotField showAll="0"/>
  </pivotFields>
  <rowFields count="2">
    <field x="0"/>
    <field x="4"/>
  </rowFields>
  <rowItems count="16">
    <i>
      <x/>
    </i>
    <i r="1">
      <x/>
    </i>
    <i r="1">
      <x v="1"/>
    </i>
    <i>
      <x v="1"/>
    </i>
    <i r="1">
      <x/>
    </i>
    <i r="1">
      <x v="1"/>
    </i>
    <i>
      <x v="2"/>
    </i>
    <i r="1">
      <x/>
    </i>
    <i r="1">
      <x v="1"/>
    </i>
    <i>
      <x v="3"/>
    </i>
    <i r="1">
      <x/>
    </i>
    <i r="1">
      <x v="1"/>
    </i>
    <i>
      <x v="4"/>
    </i>
    <i r="1">
      <x/>
    </i>
    <i r="1">
      <x v="1"/>
    </i>
    <i t="grand">
      <x/>
    </i>
  </rowItems>
  <colFields count="1">
    <field x="-2"/>
  </colFields>
  <colItems count="2">
    <i>
      <x/>
    </i>
    <i i="1">
      <x v="1"/>
    </i>
  </colItems>
  <dataFields count="2">
    <dataField name="計數 - 項次" fld="2" subtotal="count" baseField="0" baseItem="0"/>
    <dataField name="計數 - 專利編號"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50"/>
  <sheetViews>
    <sheetView tabSelected="1" zoomScaleNormal="100" workbookViewId="0">
      <pane xSplit="11" ySplit="2" topLeftCell="S27" activePane="bottomRight" state="frozen"/>
      <selection pane="topRight" activeCell="L1" sqref="L1"/>
      <selection pane="bottomLeft" activeCell="A3" sqref="A3"/>
      <selection pane="bottomRight" activeCell="J49" sqref="J49"/>
    </sheetView>
  </sheetViews>
  <sheetFormatPr defaultColWidth="8.90625" defaultRowHeight="17" x14ac:dyDescent="0.4"/>
  <cols>
    <col min="1" max="1" width="8.1796875" style="19" customWidth="1"/>
    <col min="2" max="2" width="5.81640625" style="1" customWidth="1"/>
    <col min="3" max="3" width="7" style="1" customWidth="1"/>
    <col min="4" max="4" width="37.81640625" style="1" customWidth="1"/>
    <col min="5" max="5" width="9.36328125" style="1" customWidth="1"/>
    <col min="6" max="6" width="11" style="19" customWidth="1"/>
    <col min="7" max="7" width="11.453125" style="39" customWidth="1"/>
    <col min="8" max="8" width="14.1796875" style="1" customWidth="1"/>
    <col min="9" max="9" width="21.90625" style="43" customWidth="1"/>
    <col min="10" max="10" width="38.54296875" style="32" customWidth="1"/>
    <col min="11" max="11" width="14.08984375" style="39" customWidth="1"/>
    <col min="12" max="12" width="12.36328125" style="80" customWidth="1"/>
    <col min="13" max="13" width="19.1796875" style="63" customWidth="1"/>
    <col min="14" max="14" width="8.81640625" style="89" customWidth="1"/>
    <col min="15" max="15" width="18.08984375" style="1" customWidth="1"/>
    <col min="16" max="16" width="17" style="1" customWidth="1"/>
    <col min="17" max="17" width="20.7265625" style="1" customWidth="1"/>
    <col min="18" max="18" width="15" style="1" customWidth="1"/>
    <col min="19" max="21" width="13.36328125" style="1" customWidth="1"/>
    <col min="22" max="22" width="4.08984375" style="1" customWidth="1"/>
    <col min="23" max="16384" width="8.90625" style="1"/>
  </cols>
  <sheetData>
    <row r="1" spans="1:23" x14ac:dyDescent="0.4">
      <c r="A1" s="4" t="s">
        <v>46</v>
      </c>
      <c r="B1" s="3"/>
      <c r="C1" s="3"/>
      <c r="D1" s="3"/>
      <c r="E1" s="3"/>
      <c r="F1" s="4"/>
      <c r="G1" s="35"/>
      <c r="H1" s="35" t="s">
        <v>250</v>
      </c>
      <c r="I1" s="41"/>
      <c r="J1" s="26"/>
      <c r="K1" s="35"/>
      <c r="L1" s="74" t="s">
        <v>24</v>
      </c>
      <c r="O1" s="23"/>
      <c r="P1" s="3"/>
      <c r="Q1" s="3"/>
      <c r="R1" s="3"/>
      <c r="S1" s="3"/>
      <c r="T1" s="3"/>
      <c r="U1" s="3"/>
    </row>
    <row r="2" spans="1:23" s="6" customFormat="1" ht="27" x14ac:dyDescent="0.4">
      <c r="A2" s="5" t="s">
        <v>47</v>
      </c>
      <c r="B2" s="5" t="s">
        <v>48</v>
      </c>
      <c r="C2" s="5" t="s">
        <v>26</v>
      </c>
      <c r="D2" s="5" t="s">
        <v>49</v>
      </c>
      <c r="E2" s="5" t="s">
        <v>50</v>
      </c>
      <c r="F2" s="5" t="s">
        <v>51</v>
      </c>
      <c r="G2" s="5" t="s">
        <v>25</v>
      </c>
      <c r="H2" s="5" t="s">
        <v>34</v>
      </c>
      <c r="I2" s="42" t="s">
        <v>35</v>
      </c>
      <c r="J2" s="27" t="s">
        <v>52</v>
      </c>
      <c r="K2" s="5" t="s">
        <v>53</v>
      </c>
      <c r="L2" s="75" t="s">
        <v>37</v>
      </c>
      <c r="M2" s="54" t="s">
        <v>27</v>
      </c>
      <c r="N2" s="90" t="s">
        <v>255</v>
      </c>
      <c r="O2" s="5" t="s">
        <v>54</v>
      </c>
      <c r="P2" s="5" t="s">
        <v>55</v>
      </c>
      <c r="Q2" s="5" t="s">
        <v>0</v>
      </c>
      <c r="R2" s="5" t="s">
        <v>1</v>
      </c>
      <c r="S2" s="5" t="s">
        <v>2</v>
      </c>
      <c r="T2" s="5" t="s">
        <v>3</v>
      </c>
      <c r="U2" s="5" t="s">
        <v>4</v>
      </c>
    </row>
    <row r="3" spans="1:23" ht="34" hidden="1" x14ac:dyDescent="0.4">
      <c r="A3" s="7" t="s">
        <v>14</v>
      </c>
      <c r="B3" s="7" t="s">
        <v>5</v>
      </c>
      <c r="C3" s="8" t="s">
        <v>6</v>
      </c>
      <c r="D3" s="8" t="s">
        <v>56</v>
      </c>
      <c r="E3" s="9" t="s">
        <v>20</v>
      </c>
      <c r="F3" s="10" t="s">
        <v>228</v>
      </c>
      <c r="G3" s="36" t="s">
        <v>114</v>
      </c>
      <c r="H3" s="86" t="s">
        <v>108</v>
      </c>
      <c r="I3" s="62" t="s">
        <v>193</v>
      </c>
      <c r="J3" s="28" t="s">
        <v>106</v>
      </c>
      <c r="K3" s="36" t="s">
        <v>194</v>
      </c>
      <c r="L3" s="76">
        <v>45611</v>
      </c>
      <c r="M3" s="64" t="s">
        <v>191</v>
      </c>
      <c r="N3" s="18">
        <v>2023</v>
      </c>
      <c r="O3" s="57" t="s">
        <v>163</v>
      </c>
      <c r="P3" s="140" t="s">
        <v>230</v>
      </c>
      <c r="Q3" s="141"/>
      <c r="R3" s="11"/>
      <c r="S3" s="11"/>
      <c r="T3" s="11"/>
      <c r="U3" s="11"/>
    </row>
    <row r="4" spans="1:23" s="20" customFormat="1" ht="34" hidden="1" x14ac:dyDescent="0.4">
      <c r="A4" s="12" t="s">
        <v>14</v>
      </c>
      <c r="B4" s="12" t="s">
        <v>15</v>
      </c>
      <c r="C4" s="13" t="s">
        <v>7</v>
      </c>
      <c r="D4" s="13" t="s">
        <v>41</v>
      </c>
      <c r="E4" s="14" t="s">
        <v>23</v>
      </c>
      <c r="F4" s="15">
        <v>4</v>
      </c>
      <c r="G4" s="37"/>
      <c r="H4" s="87" t="s">
        <v>107</v>
      </c>
      <c r="I4" s="34" t="s">
        <v>124</v>
      </c>
      <c r="J4" s="29" t="s">
        <v>57</v>
      </c>
      <c r="K4" s="37" t="s">
        <v>36</v>
      </c>
      <c r="L4" s="77" t="s">
        <v>58</v>
      </c>
      <c r="M4" s="65"/>
      <c r="N4" s="17">
        <v>2021</v>
      </c>
      <c r="O4" s="17" t="s">
        <v>31</v>
      </c>
      <c r="P4" s="17" t="s">
        <v>29</v>
      </c>
      <c r="Q4" s="58" t="s">
        <v>130</v>
      </c>
      <c r="R4" s="123" t="s">
        <v>221</v>
      </c>
      <c r="S4" s="124"/>
      <c r="T4" s="125"/>
      <c r="U4" s="16"/>
      <c r="W4" s="85" t="s">
        <v>222</v>
      </c>
    </row>
    <row r="5" spans="1:23" ht="34" hidden="1" x14ac:dyDescent="0.4">
      <c r="A5" s="7" t="s">
        <v>14</v>
      </c>
      <c r="B5" s="7" t="s">
        <v>5</v>
      </c>
      <c r="C5" s="8" t="s">
        <v>8</v>
      </c>
      <c r="D5" s="8" t="s">
        <v>59</v>
      </c>
      <c r="E5" s="9" t="s">
        <v>20</v>
      </c>
      <c r="F5" s="10">
        <v>3</v>
      </c>
      <c r="G5" s="36"/>
      <c r="H5" s="86" t="s">
        <v>17</v>
      </c>
      <c r="I5" s="33" t="s">
        <v>40</v>
      </c>
      <c r="J5" s="28" t="s">
        <v>60</v>
      </c>
      <c r="K5" s="36" t="s">
        <v>39</v>
      </c>
      <c r="L5" s="78" t="s">
        <v>61</v>
      </c>
      <c r="M5" s="64"/>
      <c r="N5" s="18">
        <v>2022</v>
      </c>
      <c r="O5" s="18" t="s">
        <v>28</v>
      </c>
      <c r="P5" s="56" t="s">
        <v>167</v>
      </c>
      <c r="Q5" s="57" t="s">
        <v>227</v>
      </c>
      <c r="R5" s="123" t="s">
        <v>229</v>
      </c>
      <c r="S5" s="11"/>
      <c r="T5" s="11"/>
      <c r="U5" s="11"/>
    </row>
    <row r="6" spans="1:23" ht="34" hidden="1" x14ac:dyDescent="0.4">
      <c r="A6" s="7" t="s">
        <v>14</v>
      </c>
      <c r="B6" s="7" t="s">
        <v>15</v>
      </c>
      <c r="C6" s="8" t="s">
        <v>9</v>
      </c>
      <c r="D6" s="8" t="s">
        <v>21</v>
      </c>
      <c r="E6" s="9" t="s">
        <v>20</v>
      </c>
      <c r="F6" s="10">
        <v>3</v>
      </c>
      <c r="G6" s="36"/>
      <c r="H6" s="86" t="s">
        <v>18</v>
      </c>
      <c r="I6" s="33" t="s">
        <v>69</v>
      </c>
      <c r="J6" s="28" t="s">
        <v>62</v>
      </c>
      <c r="K6" s="36" t="s">
        <v>67</v>
      </c>
      <c r="L6" s="78" t="s">
        <v>68</v>
      </c>
      <c r="M6" s="64"/>
      <c r="N6" s="18" t="s">
        <v>259</v>
      </c>
      <c r="O6" s="18" t="s">
        <v>29</v>
      </c>
      <c r="P6" s="57" t="s">
        <v>166</v>
      </c>
      <c r="Q6" s="57" t="s">
        <v>202</v>
      </c>
      <c r="R6" s="123" t="s">
        <v>203</v>
      </c>
      <c r="S6" s="11"/>
      <c r="T6" s="11"/>
      <c r="U6" s="11"/>
    </row>
    <row r="7" spans="1:23" ht="34" hidden="1" x14ac:dyDescent="0.4">
      <c r="A7" s="7" t="s">
        <v>14</v>
      </c>
      <c r="B7" s="7" t="s">
        <v>5</v>
      </c>
      <c r="C7" s="8" t="s">
        <v>10</v>
      </c>
      <c r="D7" s="8" t="s">
        <v>42</v>
      </c>
      <c r="E7" s="9" t="s">
        <v>20</v>
      </c>
      <c r="F7" s="10" t="s">
        <v>228</v>
      </c>
      <c r="G7" s="38" t="s">
        <v>169</v>
      </c>
      <c r="H7" s="86" t="s">
        <v>33</v>
      </c>
      <c r="I7" s="33" t="s">
        <v>198</v>
      </c>
      <c r="J7" s="28" t="s">
        <v>63</v>
      </c>
      <c r="K7" s="36" t="s">
        <v>252</v>
      </c>
      <c r="L7" s="78" t="s">
        <v>253</v>
      </c>
      <c r="M7" s="64" t="s">
        <v>192</v>
      </c>
      <c r="N7" s="18" t="s">
        <v>257</v>
      </c>
      <c r="O7" s="56" t="s">
        <v>219</v>
      </c>
      <c r="P7" s="140" t="s">
        <v>220</v>
      </c>
      <c r="Q7" s="141"/>
      <c r="R7" s="52" t="s">
        <v>366</v>
      </c>
      <c r="S7" s="11"/>
      <c r="T7" s="11"/>
      <c r="U7" s="11"/>
    </row>
    <row r="8" spans="1:23" ht="34" hidden="1" x14ac:dyDescent="0.4">
      <c r="A8" s="7" t="s">
        <v>14</v>
      </c>
      <c r="B8" s="7" t="s">
        <v>5</v>
      </c>
      <c r="C8" s="8" t="s">
        <v>11</v>
      </c>
      <c r="D8" s="8" t="s">
        <v>64</v>
      </c>
      <c r="E8" s="9" t="s">
        <v>20</v>
      </c>
      <c r="F8" s="10">
        <v>3</v>
      </c>
      <c r="G8" s="38">
        <v>44915</v>
      </c>
      <c r="H8" s="86" t="s">
        <v>70</v>
      </c>
      <c r="I8" s="33" t="s">
        <v>164</v>
      </c>
      <c r="J8" s="28" t="s">
        <v>43</v>
      </c>
      <c r="K8" s="36" t="s">
        <v>105</v>
      </c>
      <c r="L8" s="78">
        <v>44967</v>
      </c>
      <c r="M8" s="66" t="s">
        <v>168</v>
      </c>
      <c r="N8" s="93" t="s">
        <v>257</v>
      </c>
      <c r="O8" s="60" t="s">
        <v>30</v>
      </c>
      <c r="P8" s="55" t="s">
        <v>163</v>
      </c>
      <c r="Q8" s="55" t="s">
        <v>251</v>
      </c>
      <c r="R8" s="52" t="s">
        <v>322</v>
      </c>
      <c r="S8" s="11"/>
      <c r="T8" s="11"/>
      <c r="U8" s="11"/>
    </row>
    <row r="9" spans="1:23" ht="34" hidden="1" x14ac:dyDescent="0.4">
      <c r="A9" s="7" t="s">
        <v>14</v>
      </c>
      <c r="B9" s="7" t="s">
        <v>5</v>
      </c>
      <c r="C9" s="8" t="s">
        <v>12</v>
      </c>
      <c r="D9" s="8" t="s">
        <v>22</v>
      </c>
      <c r="E9" s="9" t="s">
        <v>20</v>
      </c>
      <c r="F9" s="10">
        <v>3</v>
      </c>
      <c r="G9" s="36"/>
      <c r="H9" s="86" t="s">
        <v>71</v>
      </c>
      <c r="I9" s="33" t="s">
        <v>96</v>
      </c>
      <c r="J9" s="28" t="s">
        <v>65</v>
      </c>
      <c r="K9" s="36" t="s">
        <v>104</v>
      </c>
      <c r="L9" s="78">
        <v>44977</v>
      </c>
      <c r="M9" s="64"/>
      <c r="N9" s="18" t="s">
        <v>257</v>
      </c>
      <c r="O9" s="60" t="s">
        <v>30</v>
      </c>
      <c r="P9" s="55" t="s">
        <v>163</v>
      </c>
      <c r="Q9" s="55" t="s">
        <v>251</v>
      </c>
      <c r="R9" s="52" t="s">
        <v>322</v>
      </c>
      <c r="S9" s="11"/>
      <c r="T9" s="11"/>
      <c r="U9" s="11"/>
    </row>
    <row r="10" spans="1:23" s="20" customFormat="1" ht="34" hidden="1" x14ac:dyDescent="0.4">
      <c r="A10" s="12" t="s">
        <v>14</v>
      </c>
      <c r="B10" s="12" t="s">
        <v>15</v>
      </c>
      <c r="C10" s="13" t="s">
        <v>13</v>
      </c>
      <c r="D10" s="13" t="s">
        <v>22</v>
      </c>
      <c r="E10" s="14" t="s">
        <v>23</v>
      </c>
      <c r="F10" s="15">
        <v>4</v>
      </c>
      <c r="G10" s="37"/>
      <c r="H10" s="87" t="s">
        <v>19</v>
      </c>
      <c r="I10" s="34" t="s">
        <v>44</v>
      </c>
      <c r="J10" s="29" t="s">
        <v>66</v>
      </c>
      <c r="K10" s="37" t="s">
        <v>38</v>
      </c>
      <c r="L10" s="77" t="s">
        <v>45</v>
      </c>
      <c r="M10" s="65"/>
      <c r="N10" s="17" t="s">
        <v>256</v>
      </c>
      <c r="O10" s="17" t="s">
        <v>32</v>
      </c>
      <c r="P10" s="17" t="s">
        <v>28</v>
      </c>
      <c r="Q10" s="61" t="s">
        <v>30</v>
      </c>
      <c r="R10" s="123" t="s">
        <v>165</v>
      </c>
      <c r="S10" s="16"/>
      <c r="T10" s="16"/>
      <c r="U10" s="16"/>
    </row>
    <row r="11" spans="1:23" s="122" customFormat="1" ht="29" hidden="1" x14ac:dyDescent="0.4">
      <c r="A11" s="112" t="s">
        <v>72</v>
      </c>
      <c r="B11" s="113" t="s">
        <v>91</v>
      </c>
      <c r="C11" s="114" t="s">
        <v>73</v>
      </c>
      <c r="D11" s="114" t="s">
        <v>81</v>
      </c>
      <c r="E11" s="115" t="s">
        <v>20</v>
      </c>
      <c r="F11" s="112">
        <v>0</v>
      </c>
      <c r="G11" s="116"/>
      <c r="H11" s="117" t="s">
        <v>231</v>
      </c>
      <c r="I11" s="118" t="s">
        <v>319</v>
      </c>
      <c r="J11" s="119"/>
      <c r="K11" s="116"/>
      <c r="L11" s="120"/>
      <c r="M11" s="121" t="s">
        <v>232</v>
      </c>
      <c r="N11" s="121"/>
      <c r="O11" s="117"/>
      <c r="P11" s="117"/>
      <c r="Q11" s="117"/>
      <c r="R11" s="117"/>
      <c r="S11" s="117"/>
      <c r="T11" s="117"/>
      <c r="U11" s="117"/>
    </row>
    <row r="12" spans="1:23" s="20" customFormat="1" hidden="1" x14ac:dyDescent="0.4">
      <c r="A12" s="12" t="s">
        <v>72</v>
      </c>
      <c r="B12" s="12" t="s">
        <v>91</v>
      </c>
      <c r="C12" s="103" t="s">
        <v>301</v>
      </c>
      <c r="D12" s="13" t="s">
        <v>81</v>
      </c>
      <c r="E12" s="14" t="s">
        <v>23</v>
      </c>
      <c r="F12" s="15" t="s">
        <v>293</v>
      </c>
      <c r="G12" s="25"/>
      <c r="H12" s="16" t="s">
        <v>294</v>
      </c>
      <c r="I12" s="104" t="s">
        <v>295</v>
      </c>
      <c r="J12" s="31" t="s">
        <v>296</v>
      </c>
      <c r="K12" s="104" t="s">
        <v>297</v>
      </c>
      <c r="L12" s="79" t="s">
        <v>298</v>
      </c>
      <c r="M12" s="105"/>
      <c r="N12" s="17" t="s">
        <v>299</v>
      </c>
      <c r="O12" s="61" t="s">
        <v>300</v>
      </c>
      <c r="P12" s="111"/>
      <c r="Q12" s="17"/>
      <c r="R12" s="17"/>
      <c r="S12" s="17"/>
      <c r="T12" s="17"/>
      <c r="U12" s="17"/>
    </row>
    <row r="13" spans="1:23" ht="34" hidden="1" x14ac:dyDescent="0.4">
      <c r="A13" s="10" t="s">
        <v>72</v>
      </c>
      <c r="B13" s="21" t="s">
        <v>92</v>
      </c>
      <c r="C13" s="8" t="s">
        <v>75</v>
      </c>
      <c r="D13" s="8" t="s">
        <v>82</v>
      </c>
      <c r="E13" s="9" t="s">
        <v>20</v>
      </c>
      <c r="F13" s="10" t="s">
        <v>228</v>
      </c>
      <c r="G13" s="24"/>
      <c r="H13" s="88" t="s">
        <v>139</v>
      </c>
      <c r="I13" s="33" t="s">
        <v>238</v>
      </c>
      <c r="J13" s="47" t="s">
        <v>140</v>
      </c>
      <c r="K13" s="36" t="s">
        <v>239</v>
      </c>
      <c r="L13" s="76" t="s">
        <v>240</v>
      </c>
      <c r="M13" s="68" t="s">
        <v>177</v>
      </c>
      <c r="N13" s="18" t="s">
        <v>258</v>
      </c>
      <c r="O13" s="55" t="s">
        <v>204</v>
      </c>
      <c r="P13" s="138" t="s">
        <v>263</v>
      </c>
      <c r="Q13" s="139"/>
      <c r="R13" s="52" t="s">
        <v>364</v>
      </c>
      <c r="S13" s="11"/>
      <c r="T13" s="11"/>
      <c r="U13" s="11"/>
    </row>
    <row r="14" spans="1:23" s="20" customFormat="1" ht="34" hidden="1" x14ac:dyDescent="0.4">
      <c r="A14" s="15" t="s">
        <v>72</v>
      </c>
      <c r="B14" s="22" t="s">
        <v>93</v>
      </c>
      <c r="C14" s="13" t="s">
        <v>74</v>
      </c>
      <c r="D14" s="2" t="s">
        <v>88</v>
      </c>
      <c r="E14" s="14" t="s">
        <v>23</v>
      </c>
      <c r="F14" s="15">
        <v>2</v>
      </c>
      <c r="G14" s="25"/>
      <c r="H14" s="16" t="s">
        <v>127</v>
      </c>
      <c r="I14" s="34" t="s">
        <v>141</v>
      </c>
      <c r="J14" s="31" t="s">
        <v>128</v>
      </c>
      <c r="K14" s="37" t="s">
        <v>281</v>
      </c>
      <c r="L14" s="79"/>
      <c r="M14" s="69"/>
      <c r="N14" s="91" t="s">
        <v>257</v>
      </c>
      <c r="O14" s="16" t="s">
        <v>129</v>
      </c>
      <c r="P14" s="59" t="s">
        <v>208</v>
      </c>
      <c r="Q14" s="59" t="s">
        <v>320</v>
      </c>
      <c r="R14" s="52" t="s">
        <v>365</v>
      </c>
      <c r="S14" s="16"/>
      <c r="T14" s="16"/>
      <c r="U14" s="16"/>
    </row>
    <row r="15" spans="1:23" ht="34" hidden="1" x14ac:dyDescent="0.4">
      <c r="A15" s="15" t="s">
        <v>72</v>
      </c>
      <c r="B15" s="22" t="s">
        <v>92</v>
      </c>
      <c r="C15" s="13" t="s">
        <v>76</v>
      </c>
      <c r="D15" s="13" t="s">
        <v>84</v>
      </c>
      <c r="E15" s="14" t="s">
        <v>23</v>
      </c>
      <c r="F15" s="15">
        <v>2</v>
      </c>
      <c r="G15" s="25"/>
      <c r="H15" s="16" t="s">
        <v>115</v>
      </c>
      <c r="I15" s="34" t="s">
        <v>142</v>
      </c>
      <c r="J15" s="31" t="s">
        <v>116</v>
      </c>
      <c r="K15" s="37" t="s">
        <v>282</v>
      </c>
      <c r="L15" s="79"/>
      <c r="M15" s="69"/>
      <c r="N15" s="91" t="s">
        <v>257</v>
      </c>
      <c r="O15" s="16" t="s">
        <v>113</v>
      </c>
      <c r="P15" s="59" t="s">
        <v>208</v>
      </c>
      <c r="Q15" s="59" t="s">
        <v>320</v>
      </c>
      <c r="R15" s="52" t="s">
        <v>365</v>
      </c>
      <c r="S15" s="16"/>
      <c r="T15" s="16"/>
      <c r="U15" s="16"/>
    </row>
    <row r="16" spans="1:23" ht="34" hidden="1" x14ac:dyDescent="0.4">
      <c r="A16" s="10" t="s">
        <v>72</v>
      </c>
      <c r="B16" s="21" t="s">
        <v>92</v>
      </c>
      <c r="C16" s="8" t="s">
        <v>77</v>
      </c>
      <c r="D16" s="8" t="s">
        <v>85</v>
      </c>
      <c r="E16" s="9" t="s">
        <v>20</v>
      </c>
      <c r="F16" s="10" t="s">
        <v>228</v>
      </c>
      <c r="G16" s="24"/>
      <c r="H16" s="86" t="s">
        <v>144</v>
      </c>
      <c r="I16" s="33" t="s">
        <v>241</v>
      </c>
      <c r="J16" s="30" t="s">
        <v>209</v>
      </c>
      <c r="K16" s="36" t="s">
        <v>242</v>
      </c>
      <c r="L16" s="76"/>
      <c r="M16" s="71" t="s">
        <v>187</v>
      </c>
      <c r="N16" s="94" t="s">
        <v>258</v>
      </c>
      <c r="O16" s="55" t="s">
        <v>207</v>
      </c>
      <c r="P16" s="140" t="s">
        <v>321</v>
      </c>
      <c r="Q16" s="141"/>
      <c r="R16" s="52" t="s">
        <v>368</v>
      </c>
      <c r="S16" s="11"/>
      <c r="T16" s="11"/>
      <c r="U16" s="11"/>
    </row>
    <row r="17" spans="1:21" ht="34" hidden="1" x14ac:dyDescent="0.4">
      <c r="A17" s="10" t="s">
        <v>72</v>
      </c>
      <c r="B17" s="21" t="s">
        <v>92</v>
      </c>
      <c r="C17" s="8" t="s">
        <v>78</v>
      </c>
      <c r="D17" s="8" t="s">
        <v>86</v>
      </c>
      <c r="E17" s="9" t="s">
        <v>20</v>
      </c>
      <c r="F17" s="10" t="s">
        <v>228</v>
      </c>
      <c r="G17" s="24"/>
      <c r="H17" s="86" t="s">
        <v>145</v>
      </c>
      <c r="I17" s="33" t="s">
        <v>233</v>
      </c>
      <c r="J17" s="30" t="s">
        <v>156</v>
      </c>
      <c r="K17" s="36" t="s">
        <v>243</v>
      </c>
      <c r="L17" s="76"/>
      <c r="M17" s="67" t="s">
        <v>157</v>
      </c>
      <c r="N17" s="95" t="s">
        <v>258</v>
      </c>
      <c r="O17" s="55" t="s">
        <v>176</v>
      </c>
      <c r="P17" s="140" t="s">
        <v>236</v>
      </c>
      <c r="Q17" s="141"/>
      <c r="R17" s="52" t="s">
        <v>363</v>
      </c>
      <c r="S17" s="11"/>
      <c r="T17" s="11"/>
      <c r="U17" s="11"/>
    </row>
    <row r="18" spans="1:21" s="20" customFormat="1" ht="34" hidden="1" x14ac:dyDescent="0.4">
      <c r="A18" s="15" t="s">
        <v>72</v>
      </c>
      <c r="B18" s="22" t="s">
        <v>93</v>
      </c>
      <c r="C18" s="13" t="s">
        <v>79</v>
      </c>
      <c r="D18" s="13" t="s">
        <v>83</v>
      </c>
      <c r="E18" s="14" t="s">
        <v>23</v>
      </c>
      <c r="F18" s="15">
        <v>3</v>
      </c>
      <c r="G18" s="25"/>
      <c r="H18" s="16" t="s">
        <v>111</v>
      </c>
      <c r="I18" s="34" t="s">
        <v>126</v>
      </c>
      <c r="J18" s="31" t="s">
        <v>112</v>
      </c>
      <c r="K18" s="37" t="s">
        <v>283</v>
      </c>
      <c r="L18" s="79"/>
      <c r="M18" s="70"/>
      <c r="N18" s="92" t="s">
        <v>257</v>
      </c>
      <c r="O18" s="16" t="s">
        <v>113</v>
      </c>
      <c r="P18" s="53" t="s">
        <v>189</v>
      </c>
      <c r="Q18" s="92" t="s">
        <v>285</v>
      </c>
      <c r="R18" s="52" t="s">
        <v>367</v>
      </c>
      <c r="S18" s="16"/>
      <c r="T18" s="16"/>
      <c r="U18" s="16"/>
    </row>
    <row r="19" spans="1:21" ht="34" hidden="1" x14ac:dyDescent="0.4">
      <c r="A19" s="10" t="s">
        <v>72</v>
      </c>
      <c r="B19" s="21" t="s">
        <v>92</v>
      </c>
      <c r="C19" s="8" t="s">
        <v>80</v>
      </c>
      <c r="D19" s="8" t="s">
        <v>87</v>
      </c>
      <c r="E19" s="9" t="s">
        <v>20</v>
      </c>
      <c r="F19" s="10" t="s">
        <v>254</v>
      </c>
      <c r="G19" s="40">
        <v>45119</v>
      </c>
      <c r="H19" s="11" t="s">
        <v>131</v>
      </c>
      <c r="I19" s="62" t="s">
        <v>277</v>
      </c>
      <c r="J19" s="30" t="s">
        <v>132</v>
      </c>
      <c r="K19" s="100" t="s">
        <v>278</v>
      </c>
      <c r="L19" s="76"/>
      <c r="M19" s="64" t="s">
        <v>213</v>
      </c>
      <c r="N19" s="18" t="s">
        <v>258</v>
      </c>
      <c r="O19" s="55" t="s">
        <v>251</v>
      </c>
      <c r="P19" s="140" t="s">
        <v>357</v>
      </c>
      <c r="Q19" s="141"/>
      <c r="R19" s="11"/>
      <c r="S19" s="11"/>
      <c r="T19" s="11"/>
      <c r="U19" s="11"/>
    </row>
    <row r="20" spans="1:21" ht="34" hidden="1" x14ac:dyDescent="0.4">
      <c r="A20" s="10" t="s">
        <v>117</v>
      </c>
      <c r="B20" s="21" t="s">
        <v>118</v>
      </c>
      <c r="C20" s="8" t="s">
        <v>90</v>
      </c>
      <c r="D20" s="8" t="s">
        <v>89</v>
      </c>
      <c r="E20" s="9" t="s">
        <v>20</v>
      </c>
      <c r="F20" s="10" t="s">
        <v>228</v>
      </c>
      <c r="G20" s="24"/>
      <c r="H20" s="86" t="s">
        <v>162</v>
      </c>
      <c r="I20" s="33" t="s">
        <v>234</v>
      </c>
      <c r="J20" s="30" t="s">
        <v>161</v>
      </c>
      <c r="K20" s="36" t="s">
        <v>244</v>
      </c>
      <c r="L20" s="76"/>
      <c r="M20" s="71" t="s">
        <v>186</v>
      </c>
      <c r="N20" s="94" t="s">
        <v>258</v>
      </c>
      <c r="O20" s="55" t="s">
        <v>205</v>
      </c>
      <c r="P20" s="136" t="s">
        <v>289</v>
      </c>
      <c r="Q20" s="137"/>
      <c r="R20" s="11"/>
      <c r="S20" s="11"/>
      <c r="T20" s="11"/>
      <c r="U20" s="11"/>
    </row>
    <row r="21" spans="1:21" s="20" customFormat="1" ht="34" hidden="1" x14ac:dyDescent="0.4">
      <c r="A21" s="10" t="s">
        <v>117</v>
      </c>
      <c r="B21" s="21" t="s">
        <v>118</v>
      </c>
      <c r="C21" s="13" t="s">
        <v>7</v>
      </c>
      <c r="D21" s="13" t="s">
        <v>89</v>
      </c>
      <c r="E21" s="14" t="s">
        <v>23</v>
      </c>
      <c r="F21" s="15" t="s">
        <v>228</v>
      </c>
      <c r="G21" s="25"/>
      <c r="H21" s="87" t="s">
        <v>133</v>
      </c>
      <c r="I21" s="34" t="s">
        <v>143</v>
      </c>
      <c r="J21" s="31" t="s">
        <v>134</v>
      </c>
      <c r="K21" s="25"/>
      <c r="L21" s="79"/>
      <c r="M21" s="72"/>
      <c r="N21" s="91" t="s">
        <v>257</v>
      </c>
      <c r="O21" s="59" t="s">
        <v>138</v>
      </c>
      <c r="P21" s="136" t="s">
        <v>214</v>
      </c>
      <c r="Q21" s="137"/>
      <c r="R21" s="52" t="s">
        <v>361</v>
      </c>
      <c r="S21" s="16"/>
      <c r="T21" s="16"/>
      <c r="U21" s="16"/>
    </row>
    <row r="22" spans="1:21" ht="34" hidden="1" x14ac:dyDescent="0.4">
      <c r="A22" s="10" t="s">
        <v>117</v>
      </c>
      <c r="B22" s="21" t="s">
        <v>118</v>
      </c>
      <c r="C22" s="8" t="s">
        <v>119</v>
      </c>
      <c r="D22" s="8" t="s">
        <v>122</v>
      </c>
      <c r="E22" s="9" t="s">
        <v>20</v>
      </c>
      <c r="F22" s="10" t="s">
        <v>228</v>
      </c>
      <c r="G22" s="24"/>
      <c r="H22" s="88" t="s">
        <v>200</v>
      </c>
      <c r="I22" s="33" t="s">
        <v>235</v>
      </c>
      <c r="J22" s="30" t="s">
        <v>199</v>
      </c>
      <c r="K22" s="36" t="s">
        <v>246</v>
      </c>
      <c r="L22" s="76"/>
      <c r="M22" s="73"/>
      <c r="N22" s="96" t="s">
        <v>258</v>
      </c>
      <c r="O22" s="55" t="s">
        <v>201</v>
      </c>
      <c r="P22" s="140" t="s">
        <v>260</v>
      </c>
      <c r="Q22" s="141"/>
      <c r="R22" s="52" t="s">
        <v>362</v>
      </c>
      <c r="S22" s="11"/>
      <c r="T22" s="11"/>
      <c r="U22" s="11"/>
    </row>
    <row r="23" spans="1:21" s="20" customFormat="1" ht="34" hidden="1" x14ac:dyDescent="0.4">
      <c r="A23" s="10" t="s">
        <v>117</v>
      </c>
      <c r="B23" s="21" t="s">
        <v>118</v>
      </c>
      <c r="C23" s="13" t="s">
        <v>120</v>
      </c>
      <c r="D23" s="13" t="s">
        <v>121</v>
      </c>
      <c r="E23" s="14" t="s">
        <v>23</v>
      </c>
      <c r="F23" s="82" t="s">
        <v>228</v>
      </c>
      <c r="G23" s="25"/>
      <c r="H23" s="87" t="s">
        <v>125</v>
      </c>
      <c r="I23" s="34" t="s">
        <v>135</v>
      </c>
      <c r="J23" s="31" t="s">
        <v>136</v>
      </c>
      <c r="K23" s="37" t="s">
        <v>137</v>
      </c>
      <c r="L23" s="79">
        <v>45117</v>
      </c>
      <c r="M23" s="72"/>
      <c r="N23" s="91" t="s">
        <v>257</v>
      </c>
      <c r="O23" s="59" t="s">
        <v>123</v>
      </c>
      <c r="P23" s="136" t="s">
        <v>205</v>
      </c>
      <c r="Q23" s="137"/>
      <c r="R23" s="52" t="s">
        <v>355</v>
      </c>
      <c r="S23" s="16"/>
      <c r="T23" s="16"/>
      <c r="U23" s="16"/>
    </row>
    <row r="24" spans="1:21" ht="34" hidden="1" x14ac:dyDescent="0.4">
      <c r="A24" s="10" t="s">
        <v>97</v>
      </c>
      <c r="B24" s="21" t="s">
        <v>92</v>
      </c>
      <c r="C24" s="8" t="s">
        <v>98</v>
      </c>
      <c r="D24" s="8" t="s">
        <v>101</v>
      </c>
      <c r="E24" s="9" t="s">
        <v>20</v>
      </c>
      <c r="F24" s="10" t="s">
        <v>261</v>
      </c>
      <c r="G24" s="24"/>
      <c r="H24" s="11" t="s">
        <v>181</v>
      </c>
      <c r="I24" s="98" t="s">
        <v>272</v>
      </c>
      <c r="J24" s="30" t="s">
        <v>180</v>
      </c>
      <c r="K24" s="100" t="s">
        <v>273</v>
      </c>
      <c r="L24" s="76"/>
      <c r="M24" s="83" t="s">
        <v>237</v>
      </c>
      <c r="N24" s="96" t="s">
        <v>258</v>
      </c>
      <c r="O24" s="55" t="s">
        <v>262</v>
      </c>
      <c r="P24" s="140" t="s">
        <v>354</v>
      </c>
      <c r="Q24" s="141"/>
      <c r="R24" s="52" t="s">
        <v>358</v>
      </c>
      <c r="S24" s="11"/>
      <c r="T24" s="11"/>
      <c r="U24" s="11"/>
    </row>
    <row r="25" spans="1:21" s="20" customFormat="1" ht="34" hidden="1" x14ac:dyDescent="0.4">
      <c r="A25" s="15" t="s">
        <v>97</v>
      </c>
      <c r="B25" s="22" t="s">
        <v>92</v>
      </c>
      <c r="C25" s="13" t="s">
        <v>99</v>
      </c>
      <c r="D25" s="13" t="s">
        <v>102</v>
      </c>
      <c r="E25" s="14" t="s">
        <v>23</v>
      </c>
      <c r="F25" s="82" t="s">
        <v>228</v>
      </c>
      <c r="G25" s="25"/>
      <c r="H25" s="16" t="s">
        <v>183</v>
      </c>
      <c r="I25" s="34" t="s">
        <v>247</v>
      </c>
      <c r="J25" s="31" t="s">
        <v>182</v>
      </c>
      <c r="K25" s="99" t="s">
        <v>248</v>
      </c>
      <c r="L25" s="79">
        <v>45324</v>
      </c>
      <c r="M25" s="72"/>
      <c r="N25" s="91" t="s">
        <v>258</v>
      </c>
      <c r="O25" s="59" t="s">
        <v>188</v>
      </c>
      <c r="P25" s="136" t="s">
        <v>190</v>
      </c>
      <c r="Q25" s="137"/>
      <c r="R25" s="52" t="s">
        <v>359</v>
      </c>
      <c r="S25" s="16"/>
      <c r="T25" s="16"/>
      <c r="U25" s="16"/>
    </row>
    <row r="26" spans="1:21" ht="34" hidden="1" x14ac:dyDescent="0.4">
      <c r="A26" s="10" t="s">
        <v>97</v>
      </c>
      <c r="B26" s="21" t="s">
        <v>92</v>
      </c>
      <c r="C26" s="8" t="s">
        <v>100</v>
      </c>
      <c r="D26" s="8" t="s">
        <v>103</v>
      </c>
      <c r="E26" s="9" t="s">
        <v>20</v>
      </c>
      <c r="F26" s="10">
        <v>0</v>
      </c>
      <c r="G26" s="40">
        <v>45792</v>
      </c>
      <c r="H26" s="11" t="s">
        <v>184</v>
      </c>
      <c r="I26" s="98" t="s">
        <v>379</v>
      </c>
      <c r="J26" s="28" t="s">
        <v>185</v>
      </c>
      <c r="K26" s="36" t="s">
        <v>380</v>
      </c>
      <c r="L26" s="76"/>
      <c r="M26" s="73"/>
      <c r="N26" s="96" t="s">
        <v>299</v>
      </c>
      <c r="O26" s="55" t="s">
        <v>356</v>
      </c>
      <c r="P26" s="11"/>
      <c r="Q26" s="11"/>
      <c r="R26" s="11"/>
      <c r="S26" s="11"/>
      <c r="T26" s="11"/>
      <c r="U26" s="11"/>
    </row>
    <row r="27" spans="1:21" ht="34" x14ac:dyDescent="0.4">
      <c r="A27" s="10" t="s">
        <v>158</v>
      </c>
      <c r="B27" s="21" t="s">
        <v>118</v>
      </c>
      <c r="C27" s="8" t="s">
        <v>6</v>
      </c>
      <c r="D27" s="8" t="s">
        <v>159</v>
      </c>
      <c r="E27" s="9" t="s">
        <v>20</v>
      </c>
      <c r="F27" s="10" t="s">
        <v>228</v>
      </c>
      <c r="G27" s="24"/>
      <c r="H27" s="11" t="s">
        <v>215</v>
      </c>
      <c r="I27" s="98" t="s">
        <v>275</v>
      </c>
      <c r="J27" s="30" t="s">
        <v>216</v>
      </c>
      <c r="K27" s="100" t="s">
        <v>276</v>
      </c>
      <c r="L27" s="76"/>
      <c r="M27" s="83" t="s">
        <v>217</v>
      </c>
      <c r="N27" s="95" t="s">
        <v>258</v>
      </c>
      <c r="O27" s="55" t="s">
        <v>223</v>
      </c>
      <c r="P27" s="140" t="s">
        <v>324</v>
      </c>
      <c r="Q27" s="141"/>
      <c r="R27" s="11"/>
      <c r="S27" s="11"/>
      <c r="T27" s="11"/>
      <c r="U27" s="11"/>
    </row>
    <row r="28" spans="1:21" s="20" customFormat="1" ht="34" x14ac:dyDescent="0.4">
      <c r="A28" s="15" t="s">
        <v>158</v>
      </c>
      <c r="B28" s="22" t="s">
        <v>118</v>
      </c>
      <c r="C28" s="13" t="s">
        <v>99</v>
      </c>
      <c r="D28" s="13" t="s">
        <v>159</v>
      </c>
      <c r="E28" s="14" t="s">
        <v>23</v>
      </c>
      <c r="F28" s="82" t="s">
        <v>228</v>
      </c>
      <c r="G28" s="25"/>
      <c r="H28" s="87" t="s">
        <v>173</v>
      </c>
      <c r="I28" s="34" t="s">
        <v>174</v>
      </c>
      <c r="J28" s="31" t="s">
        <v>175</v>
      </c>
      <c r="K28" s="37" t="s">
        <v>245</v>
      </c>
      <c r="L28" s="79"/>
      <c r="M28" s="72"/>
      <c r="N28" s="91" t="s">
        <v>257</v>
      </c>
      <c r="O28" s="59" t="s">
        <v>176</v>
      </c>
      <c r="P28" s="136" t="s">
        <v>230</v>
      </c>
      <c r="Q28" s="137"/>
      <c r="R28" s="52" t="s">
        <v>323</v>
      </c>
      <c r="S28" s="16"/>
      <c r="T28" s="16"/>
      <c r="U28" s="16"/>
    </row>
    <row r="29" spans="1:21" ht="34" x14ac:dyDescent="0.4">
      <c r="A29" s="10" t="s">
        <v>158</v>
      </c>
      <c r="B29" s="21" t="s">
        <v>118</v>
      </c>
      <c r="C29" s="8" t="s">
        <v>75</v>
      </c>
      <c r="D29" s="8" t="s">
        <v>160</v>
      </c>
      <c r="E29" s="9" t="s">
        <v>20</v>
      </c>
      <c r="F29" s="10" t="s">
        <v>16</v>
      </c>
      <c r="G29" s="24"/>
      <c r="H29" s="11" t="s">
        <v>225</v>
      </c>
      <c r="I29" s="101" t="s">
        <v>286</v>
      </c>
      <c r="J29" s="30" t="s">
        <v>224</v>
      </c>
      <c r="K29" s="102">
        <v>2025</v>
      </c>
      <c r="L29" s="76"/>
      <c r="M29" s="83" t="s">
        <v>226</v>
      </c>
      <c r="N29" s="95">
        <v>2025</v>
      </c>
      <c r="O29" s="55" t="s">
        <v>287</v>
      </c>
      <c r="P29" s="140" t="s">
        <v>387</v>
      </c>
      <c r="Q29" s="141"/>
      <c r="R29" s="11"/>
      <c r="S29" s="11"/>
      <c r="T29" s="11"/>
      <c r="U29" s="11"/>
    </row>
    <row r="30" spans="1:21" s="20" customFormat="1" ht="34" x14ac:dyDescent="0.4">
      <c r="A30" s="15" t="s">
        <v>158</v>
      </c>
      <c r="B30" s="22" t="s">
        <v>118</v>
      </c>
      <c r="C30" s="13" t="s">
        <v>74</v>
      </c>
      <c r="D30" s="13" t="s">
        <v>160</v>
      </c>
      <c r="E30" s="14" t="s">
        <v>23</v>
      </c>
      <c r="F30" s="82" t="s">
        <v>228</v>
      </c>
      <c r="G30" s="25"/>
      <c r="H30" s="87" t="s">
        <v>210</v>
      </c>
      <c r="I30" s="84" t="s">
        <v>218</v>
      </c>
      <c r="J30" s="31" t="s">
        <v>211</v>
      </c>
      <c r="K30" s="37" t="s">
        <v>249</v>
      </c>
      <c r="L30" s="79"/>
      <c r="M30" s="72"/>
      <c r="N30" s="91" t="s">
        <v>258</v>
      </c>
      <c r="O30" s="59" t="s">
        <v>212</v>
      </c>
      <c r="P30" s="136" t="s">
        <v>284</v>
      </c>
      <c r="Q30" s="137"/>
      <c r="R30" s="52" t="s">
        <v>360</v>
      </c>
      <c r="S30" s="16"/>
      <c r="T30" s="16"/>
      <c r="U30" s="16"/>
    </row>
    <row r="31" spans="1:21" ht="40.5" hidden="1" x14ac:dyDescent="0.4">
      <c r="A31" s="10" t="s">
        <v>340</v>
      </c>
      <c r="B31" s="21" t="s">
        <v>341</v>
      </c>
      <c r="C31" s="8" t="s">
        <v>6</v>
      </c>
      <c r="D31" s="8" t="s">
        <v>343</v>
      </c>
      <c r="E31" s="9" t="s">
        <v>20</v>
      </c>
      <c r="F31" s="10">
        <v>0</v>
      </c>
      <c r="G31" s="38" t="s">
        <v>350</v>
      </c>
      <c r="H31" s="130" t="s">
        <v>342</v>
      </c>
      <c r="I31" s="62"/>
      <c r="J31" s="30" t="s">
        <v>343</v>
      </c>
      <c r="K31" s="36"/>
      <c r="L31" s="76"/>
      <c r="M31" s="71" t="s">
        <v>385</v>
      </c>
      <c r="N31" s="96"/>
      <c r="O31" s="55"/>
      <c r="P31" s="126"/>
      <c r="Q31" s="127"/>
      <c r="R31" s="11"/>
      <c r="S31" s="11"/>
      <c r="T31" s="11"/>
      <c r="U31" s="11"/>
    </row>
    <row r="32" spans="1:21" s="20" customFormat="1" ht="34" hidden="1" x14ac:dyDescent="0.4">
      <c r="A32" s="15" t="s">
        <v>340</v>
      </c>
      <c r="B32" s="22" t="s">
        <v>341</v>
      </c>
      <c r="C32" s="13" t="s">
        <v>99</v>
      </c>
      <c r="D32" s="13" t="s">
        <v>343</v>
      </c>
      <c r="E32" s="14" t="s">
        <v>23</v>
      </c>
      <c r="F32" s="15" t="s">
        <v>339</v>
      </c>
      <c r="G32" s="25"/>
      <c r="H32" s="87" t="s">
        <v>381</v>
      </c>
      <c r="I32" s="84" t="s">
        <v>349</v>
      </c>
      <c r="J32" s="31" t="s">
        <v>348</v>
      </c>
      <c r="K32" s="37" t="s">
        <v>347</v>
      </c>
      <c r="L32" s="79"/>
      <c r="M32" s="72"/>
      <c r="N32" s="91" t="s">
        <v>382</v>
      </c>
      <c r="O32" s="16" t="s">
        <v>384</v>
      </c>
      <c r="P32" s="136" t="s">
        <v>383</v>
      </c>
      <c r="Q32" s="137"/>
      <c r="R32" s="16"/>
      <c r="S32" s="16"/>
      <c r="T32" s="16"/>
      <c r="U32" s="16"/>
    </row>
    <row r="33" spans="1:21" hidden="1" x14ac:dyDescent="0.4">
      <c r="A33" s="10" t="s">
        <v>340</v>
      </c>
      <c r="B33" s="21" t="s">
        <v>341</v>
      </c>
      <c r="C33" s="8" t="s">
        <v>75</v>
      </c>
      <c r="D33" s="8" t="s">
        <v>344</v>
      </c>
      <c r="E33" s="9" t="s">
        <v>20</v>
      </c>
      <c r="F33" s="10">
        <v>0</v>
      </c>
      <c r="G33" s="24"/>
      <c r="H33" s="130" t="s">
        <v>351</v>
      </c>
      <c r="I33" s="62"/>
      <c r="J33" s="30" t="s">
        <v>352</v>
      </c>
      <c r="K33" s="36"/>
      <c r="L33" s="76"/>
      <c r="M33" s="134" t="s">
        <v>353</v>
      </c>
      <c r="N33" s="96"/>
      <c r="O33" s="55"/>
      <c r="P33" s="126"/>
      <c r="Q33" s="127"/>
      <c r="R33" s="11"/>
      <c r="S33" s="11"/>
      <c r="T33" s="11"/>
      <c r="U33" s="11"/>
    </row>
    <row r="34" spans="1:21" s="20" customFormat="1" ht="34" hidden="1" x14ac:dyDescent="0.4">
      <c r="A34" s="15" t="s">
        <v>340</v>
      </c>
      <c r="B34" s="22" t="s">
        <v>341</v>
      </c>
      <c r="C34" s="13" t="s">
        <v>74</v>
      </c>
      <c r="D34" s="13" t="s">
        <v>344</v>
      </c>
      <c r="E34" s="14" t="s">
        <v>23</v>
      </c>
      <c r="F34" s="15" t="s">
        <v>339</v>
      </c>
      <c r="G34" s="25"/>
      <c r="H34" s="87" t="s">
        <v>386</v>
      </c>
      <c r="I34" s="84" t="s">
        <v>345</v>
      </c>
      <c r="J34" s="31" t="s">
        <v>346</v>
      </c>
      <c r="K34" s="37" t="s">
        <v>347</v>
      </c>
      <c r="L34" s="79"/>
      <c r="M34" s="72"/>
      <c r="N34" s="91" t="s">
        <v>382</v>
      </c>
      <c r="O34" s="16" t="s">
        <v>384</v>
      </c>
      <c r="P34" s="136" t="s">
        <v>383</v>
      </c>
      <c r="Q34" s="137"/>
      <c r="R34" s="16"/>
      <c r="S34" s="16"/>
      <c r="T34" s="16"/>
      <c r="U34" s="16"/>
    </row>
    <row r="35" spans="1:21" s="20" customFormat="1" ht="34" hidden="1" x14ac:dyDescent="0.4">
      <c r="A35" s="15" t="s">
        <v>178</v>
      </c>
      <c r="B35" s="22" t="s">
        <v>91</v>
      </c>
      <c r="C35" s="16" t="s">
        <v>73</v>
      </c>
      <c r="D35" s="13" t="s">
        <v>316</v>
      </c>
      <c r="E35" s="14" t="s">
        <v>23</v>
      </c>
      <c r="F35" s="15" t="s">
        <v>325</v>
      </c>
      <c r="G35" s="25"/>
      <c r="H35" s="16" t="s">
        <v>314</v>
      </c>
      <c r="I35" s="101" t="s">
        <v>315</v>
      </c>
      <c r="J35" s="29" t="s">
        <v>316</v>
      </c>
      <c r="K35" s="110">
        <v>2025</v>
      </c>
      <c r="L35" s="79"/>
      <c r="M35" s="72"/>
      <c r="N35" s="92">
        <v>2025</v>
      </c>
      <c r="O35" s="59" t="s">
        <v>317</v>
      </c>
      <c r="P35" s="16"/>
      <c r="Q35" s="16"/>
      <c r="R35" s="16"/>
      <c r="S35" s="16"/>
      <c r="T35" s="16"/>
      <c r="U35" s="16"/>
    </row>
    <row r="36" spans="1:21" hidden="1" x14ac:dyDescent="0.4">
      <c r="A36" s="10" t="s">
        <v>178</v>
      </c>
      <c r="B36" s="21" t="s">
        <v>179</v>
      </c>
      <c r="C36" s="11" t="s">
        <v>8</v>
      </c>
      <c r="D36" s="11" t="s">
        <v>195</v>
      </c>
      <c r="E36" s="9" t="s">
        <v>20</v>
      </c>
      <c r="F36" s="10">
        <v>0</v>
      </c>
      <c r="G36" s="24"/>
      <c r="H36" s="11"/>
      <c r="I36" s="33"/>
      <c r="J36" s="30"/>
      <c r="K36" s="24"/>
      <c r="L36" s="76"/>
      <c r="M36" s="73"/>
      <c r="N36" s="73"/>
      <c r="O36" s="11"/>
      <c r="P36" s="11"/>
      <c r="Q36" s="11"/>
      <c r="R36" s="11"/>
      <c r="S36" s="11"/>
      <c r="T36" s="11"/>
      <c r="U36" s="11"/>
    </row>
    <row r="37" spans="1:21" ht="68" hidden="1" x14ac:dyDescent="0.4">
      <c r="A37" s="10" t="s">
        <v>288</v>
      </c>
      <c r="B37" s="21" t="s">
        <v>290</v>
      </c>
      <c r="C37" s="11" t="s">
        <v>291</v>
      </c>
      <c r="D37" s="106" t="s">
        <v>302</v>
      </c>
      <c r="E37" s="9" t="s">
        <v>20</v>
      </c>
      <c r="F37" s="109">
        <v>0</v>
      </c>
      <c r="G37" s="24"/>
      <c r="H37" s="11"/>
      <c r="I37" s="33"/>
      <c r="J37" s="30"/>
      <c r="K37" s="24"/>
      <c r="L37" s="76"/>
      <c r="M37" s="73"/>
      <c r="N37" s="107"/>
      <c r="O37" s="11"/>
      <c r="P37" s="11"/>
      <c r="Q37" s="11"/>
      <c r="R37" s="11"/>
      <c r="S37" s="11"/>
      <c r="T37" s="11"/>
      <c r="U37" s="11"/>
    </row>
    <row r="38" spans="1:21" s="20" customFormat="1" ht="68" hidden="1" customHeight="1" x14ac:dyDescent="0.4">
      <c r="A38" s="15" t="s">
        <v>288</v>
      </c>
      <c r="B38" s="22" t="s">
        <v>290</v>
      </c>
      <c r="C38" s="16" t="s">
        <v>292</v>
      </c>
      <c r="D38" s="13" t="s">
        <v>303</v>
      </c>
      <c r="E38" s="14" t="s">
        <v>23</v>
      </c>
      <c r="F38" s="15" t="s">
        <v>339</v>
      </c>
      <c r="G38" s="25"/>
      <c r="H38" s="53" t="s">
        <v>326</v>
      </c>
      <c r="I38" s="84" t="s">
        <v>327</v>
      </c>
      <c r="J38" s="129" t="s">
        <v>328</v>
      </c>
      <c r="K38" s="99" t="s">
        <v>378</v>
      </c>
      <c r="L38" s="79"/>
      <c r="M38" s="72"/>
      <c r="N38" s="108"/>
      <c r="O38" s="16"/>
      <c r="P38" s="16"/>
      <c r="Q38" s="16"/>
      <c r="R38" s="16"/>
      <c r="S38" s="16"/>
      <c r="T38" s="16"/>
      <c r="U38" s="16"/>
    </row>
    <row r="39" spans="1:21" ht="34" hidden="1" x14ac:dyDescent="0.4">
      <c r="A39" s="10" t="s">
        <v>288</v>
      </c>
      <c r="B39" s="21" t="s">
        <v>290</v>
      </c>
      <c r="C39" s="11" t="s">
        <v>75</v>
      </c>
      <c r="D39" s="106" t="s">
        <v>305</v>
      </c>
      <c r="E39" s="9" t="s">
        <v>20</v>
      </c>
      <c r="F39" s="10" t="s">
        <v>373</v>
      </c>
      <c r="G39" s="24"/>
      <c r="H39" s="130"/>
      <c r="I39" s="135" t="s">
        <v>371</v>
      </c>
      <c r="J39" s="131" t="s">
        <v>370</v>
      </c>
      <c r="K39" s="100" t="s">
        <v>372</v>
      </c>
      <c r="L39" s="76"/>
      <c r="M39" s="73"/>
      <c r="N39" s="107"/>
      <c r="O39" s="11"/>
      <c r="P39" s="11"/>
      <c r="Q39" s="11"/>
      <c r="R39" s="11"/>
      <c r="S39" s="11"/>
      <c r="T39" s="11"/>
      <c r="U39" s="11"/>
    </row>
    <row r="40" spans="1:21" s="20" customFormat="1" ht="34" hidden="1" x14ac:dyDescent="0.4">
      <c r="A40" s="15" t="s">
        <v>288</v>
      </c>
      <c r="B40" s="22" t="s">
        <v>290</v>
      </c>
      <c r="C40" s="16" t="s">
        <v>74</v>
      </c>
      <c r="D40" s="16" t="s">
        <v>304</v>
      </c>
      <c r="E40" s="14" t="s">
        <v>23</v>
      </c>
      <c r="F40" s="15" t="s">
        <v>339</v>
      </c>
      <c r="G40" s="25"/>
      <c r="H40" s="53" t="s">
        <v>329</v>
      </c>
      <c r="I40" s="84" t="s">
        <v>330</v>
      </c>
      <c r="J40" s="133" t="s">
        <v>369</v>
      </c>
      <c r="K40" s="99" t="s">
        <v>377</v>
      </c>
      <c r="L40" s="79"/>
      <c r="M40" s="72"/>
      <c r="N40" s="108"/>
      <c r="O40" s="16"/>
      <c r="P40" s="16"/>
      <c r="Q40" s="16"/>
      <c r="R40" s="16"/>
      <c r="S40" s="16"/>
      <c r="T40" s="16"/>
      <c r="U40" s="16"/>
    </row>
    <row r="41" spans="1:21" hidden="1" x14ac:dyDescent="0.4">
      <c r="A41" s="10" t="s">
        <v>288</v>
      </c>
      <c r="B41" s="21" t="s">
        <v>290</v>
      </c>
      <c r="C41" s="11" t="s">
        <v>306</v>
      </c>
      <c r="D41" s="11" t="s">
        <v>308</v>
      </c>
      <c r="E41" s="9" t="s">
        <v>20</v>
      </c>
      <c r="F41" s="10">
        <v>0</v>
      </c>
      <c r="G41" s="24"/>
      <c r="H41" s="130"/>
      <c r="I41" s="62"/>
      <c r="J41" s="131"/>
      <c r="K41" s="132"/>
      <c r="L41" s="76"/>
      <c r="M41" s="73"/>
      <c r="N41" s="107"/>
      <c r="O41" s="11"/>
      <c r="P41" s="11"/>
      <c r="Q41" s="11"/>
      <c r="R41" s="11"/>
      <c r="S41" s="11"/>
      <c r="T41" s="11"/>
      <c r="U41" s="11"/>
    </row>
    <row r="42" spans="1:21" s="20" customFormat="1" ht="34" hidden="1" x14ac:dyDescent="0.4">
      <c r="A42" s="15" t="s">
        <v>288</v>
      </c>
      <c r="B42" s="22" t="s">
        <v>290</v>
      </c>
      <c r="C42" s="16" t="s">
        <v>307</v>
      </c>
      <c r="D42" s="16" t="s">
        <v>308</v>
      </c>
      <c r="E42" s="14" t="s">
        <v>23</v>
      </c>
      <c r="F42" s="15" t="s">
        <v>339</v>
      </c>
      <c r="G42" s="25"/>
      <c r="H42" s="53"/>
      <c r="I42" s="84" t="s">
        <v>374</v>
      </c>
      <c r="J42" s="129" t="s">
        <v>375</v>
      </c>
      <c r="K42" s="99" t="s">
        <v>376</v>
      </c>
      <c r="L42" s="79"/>
      <c r="M42" s="72"/>
      <c r="N42" s="108"/>
      <c r="O42" s="16"/>
      <c r="P42" s="16"/>
      <c r="Q42" s="16"/>
      <c r="R42" s="16"/>
      <c r="S42" s="16"/>
      <c r="T42" s="16"/>
      <c r="U42" s="16"/>
    </row>
    <row r="43" spans="1:21" ht="34" hidden="1" x14ac:dyDescent="0.4">
      <c r="A43" s="10" t="s">
        <v>288</v>
      </c>
      <c r="B43" s="21" t="s">
        <v>290</v>
      </c>
      <c r="C43" s="11" t="s">
        <v>309</v>
      </c>
      <c r="D43" s="8" t="s">
        <v>313</v>
      </c>
      <c r="E43" s="9" t="s">
        <v>20</v>
      </c>
      <c r="F43" s="10">
        <v>0</v>
      </c>
      <c r="G43" s="24"/>
      <c r="H43" s="130"/>
      <c r="I43" s="62"/>
      <c r="J43" s="131"/>
      <c r="K43" s="132"/>
      <c r="L43" s="76"/>
      <c r="M43" s="73"/>
      <c r="N43" s="107"/>
      <c r="O43" s="11"/>
      <c r="P43" s="11"/>
      <c r="Q43" s="11"/>
      <c r="R43" s="11"/>
      <c r="S43" s="11"/>
      <c r="T43" s="11"/>
      <c r="U43" s="11"/>
    </row>
    <row r="44" spans="1:21" s="20" customFormat="1" ht="34" hidden="1" x14ac:dyDescent="0.4">
      <c r="A44" s="15" t="s">
        <v>288</v>
      </c>
      <c r="B44" s="22" t="s">
        <v>290</v>
      </c>
      <c r="C44" s="16" t="s">
        <v>310</v>
      </c>
      <c r="D44" s="13" t="s">
        <v>313</v>
      </c>
      <c r="E44" s="14" t="s">
        <v>23</v>
      </c>
      <c r="F44" s="15" t="s">
        <v>339</v>
      </c>
      <c r="G44" s="25"/>
      <c r="H44" s="53" t="s">
        <v>332</v>
      </c>
      <c r="I44" s="84" t="s">
        <v>333</v>
      </c>
      <c r="J44" s="133" t="s">
        <v>334</v>
      </c>
      <c r="K44" s="99" t="s">
        <v>331</v>
      </c>
      <c r="L44" s="79"/>
      <c r="M44" s="72"/>
      <c r="N44" s="108"/>
      <c r="O44" s="16"/>
      <c r="P44" s="16"/>
      <c r="Q44" s="16"/>
      <c r="R44" s="16"/>
      <c r="S44" s="16"/>
      <c r="T44" s="16"/>
      <c r="U44" s="16"/>
    </row>
    <row r="45" spans="1:21" s="20" customFormat="1" ht="34" hidden="1" x14ac:dyDescent="0.4">
      <c r="A45" s="15" t="s">
        <v>288</v>
      </c>
      <c r="B45" s="22" t="s">
        <v>290</v>
      </c>
      <c r="C45" s="16" t="s">
        <v>311</v>
      </c>
      <c r="D45" s="16" t="s">
        <v>312</v>
      </c>
      <c r="E45" s="14" t="s">
        <v>23</v>
      </c>
      <c r="F45" s="15" t="s">
        <v>339</v>
      </c>
      <c r="G45" s="25"/>
      <c r="H45" s="53" t="s">
        <v>335</v>
      </c>
      <c r="I45" s="84" t="s">
        <v>336</v>
      </c>
      <c r="J45" s="133" t="s">
        <v>337</v>
      </c>
      <c r="K45" s="99" t="s">
        <v>338</v>
      </c>
      <c r="L45" s="79"/>
      <c r="M45" s="72"/>
      <c r="N45" s="108"/>
      <c r="O45" s="16"/>
      <c r="P45" s="16"/>
      <c r="Q45" s="16"/>
      <c r="R45" s="16"/>
      <c r="S45" s="16"/>
      <c r="T45" s="16"/>
      <c r="U45" s="16"/>
    </row>
    <row r="47" spans="1:21" x14ac:dyDescent="0.4">
      <c r="A47" s="39" t="s">
        <v>196</v>
      </c>
      <c r="E47" s="1" t="s">
        <v>110</v>
      </c>
      <c r="F47" s="19" t="s">
        <v>109</v>
      </c>
      <c r="G47" s="39" t="s">
        <v>318</v>
      </c>
    </row>
    <row r="48" spans="1:21" x14ac:dyDescent="0.4">
      <c r="D48" s="1" t="s">
        <v>94</v>
      </c>
      <c r="E48" s="1">
        <f>COUNTIF(E3:E45,D48)</f>
        <v>24</v>
      </c>
      <c r="F48" s="81">
        <f>E48-G48</f>
        <v>16</v>
      </c>
      <c r="G48" s="81">
        <f>COUNTIFS(E3:E45,D48,F3:F45,0)</f>
        <v>8</v>
      </c>
      <c r="I48" s="39">
        <f>COUNTA(I3:I30)</f>
        <v>28</v>
      </c>
      <c r="Q48" s="1" t="s">
        <v>206</v>
      </c>
    </row>
    <row r="49" spans="1:7" x14ac:dyDescent="0.4">
      <c r="D49" s="1" t="s">
        <v>95</v>
      </c>
      <c r="E49" s="1">
        <f>COUNTIF(E3:E45,D49)</f>
        <v>19</v>
      </c>
      <c r="F49" s="81">
        <f>E49-G49</f>
        <v>19</v>
      </c>
      <c r="G49" s="81">
        <f>COUNTIFS(E3:E45,D49,F3:F45,0)</f>
        <v>0</v>
      </c>
    </row>
    <row r="50" spans="1:7" x14ac:dyDescent="0.4">
      <c r="A50" s="19">
        <f>COUNTA(A3:A45)</f>
        <v>43</v>
      </c>
      <c r="D50" s="81" t="s">
        <v>197</v>
      </c>
      <c r="E50" s="1">
        <f>SUM(E48:E49)</f>
        <v>43</v>
      </c>
      <c r="F50" s="81">
        <f>SUM(F48:F49)</f>
        <v>35</v>
      </c>
      <c r="G50" s="81">
        <f>COUNTIF(F3:F45, 0)</f>
        <v>8</v>
      </c>
    </row>
  </sheetData>
  <autoFilter ref="A2:U45" xr:uid="{00000000-0009-0000-0000-000000000000}">
    <filterColumn colId="0">
      <filters>
        <filter val="0405B"/>
      </filters>
    </filterColumn>
  </autoFilter>
  <mergeCells count="18">
    <mergeCell ref="P32:Q32"/>
    <mergeCell ref="P34:Q34"/>
    <mergeCell ref="P29:Q29"/>
    <mergeCell ref="P30:Q30"/>
    <mergeCell ref="P28:Q28"/>
    <mergeCell ref="P3:Q3"/>
    <mergeCell ref="P23:Q23"/>
    <mergeCell ref="P21:Q21"/>
    <mergeCell ref="P7:Q7"/>
    <mergeCell ref="P17:Q17"/>
    <mergeCell ref="P22:Q22"/>
    <mergeCell ref="P25:Q25"/>
    <mergeCell ref="P13:Q13"/>
    <mergeCell ref="P16:Q16"/>
    <mergeCell ref="P20:Q20"/>
    <mergeCell ref="P27:Q27"/>
    <mergeCell ref="P24:Q24"/>
    <mergeCell ref="P19:Q19"/>
  </mergeCells>
  <phoneticPr fontId="1" type="noConversion"/>
  <pageMargins left="0.7" right="0.7" top="0.75" bottom="0.75" header="0.3" footer="0.3"/>
  <pageSetup paperSize="9"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38E60-956D-407D-8B56-20570E557438}">
  <dimension ref="A3:P25"/>
  <sheetViews>
    <sheetView workbookViewId="0">
      <selection activeCell="J23" sqref="J23:P25"/>
    </sheetView>
  </sheetViews>
  <sheetFormatPr defaultRowHeight="17" x14ac:dyDescent="0.4"/>
  <cols>
    <col min="1" max="1" width="10.81640625" bestFit="1" customWidth="1"/>
    <col min="2" max="2" width="13.36328125" bestFit="1" customWidth="1"/>
    <col min="3" max="3" width="14.08984375" customWidth="1"/>
  </cols>
  <sheetData>
    <row r="3" spans="1:9" x14ac:dyDescent="0.4">
      <c r="A3" s="44" t="s">
        <v>146</v>
      </c>
      <c r="B3" t="s">
        <v>152</v>
      </c>
      <c r="C3" t="s">
        <v>155</v>
      </c>
    </row>
    <row r="4" spans="1:9" x14ac:dyDescent="0.4">
      <c r="A4" s="45" t="s">
        <v>147</v>
      </c>
      <c r="B4">
        <v>4</v>
      </c>
      <c r="C4">
        <v>2</v>
      </c>
    </row>
    <row r="5" spans="1:9" x14ac:dyDescent="0.4">
      <c r="A5" s="46" t="s">
        <v>153</v>
      </c>
      <c r="B5">
        <v>2</v>
      </c>
      <c r="F5" t="s">
        <v>147</v>
      </c>
      <c r="G5" t="s">
        <v>153</v>
      </c>
      <c r="H5">
        <v>2</v>
      </c>
    </row>
    <row r="6" spans="1:9" x14ac:dyDescent="0.4">
      <c r="A6" s="46" t="s">
        <v>154</v>
      </c>
      <c r="B6">
        <v>2</v>
      </c>
      <c r="C6">
        <v>2</v>
      </c>
      <c r="F6" t="s">
        <v>147</v>
      </c>
      <c r="G6" t="s">
        <v>154</v>
      </c>
      <c r="H6">
        <v>2</v>
      </c>
      <c r="I6">
        <v>2</v>
      </c>
    </row>
    <row r="7" spans="1:9" x14ac:dyDescent="0.4">
      <c r="A7" s="45" t="s">
        <v>148</v>
      </c>
      <c r="B7">
        <v>8</v>
      </c>
      <c r="C7">
        <v>7</v>
      </c>
      <c r="F7" t="s">
        <v>148</v>
      </c>
      <c r="G7" t="s">
        <v>153</v>
      </c>
      <c r="H7">
        <v>6</v>
      </c>
      <c r="I7">
        <v>5</v>
      </c>
    </row>
    <row r="8" spans="1:9" x14ac:dyDescent="0.4">
      <c r="A8" s="46" t="s">
        <v>153</v>
      </c>
      <c r="B8">
        <v>6</v>
      </c>
      <c r="C8">
        <v>5</v>
      </c>
      <c r="F8" t="s">
        <v>148</v>
      </c>
      <c r="G8" t="s">
        <v>154</v>
      </c>
      <c r="H8">
        <v>2</v>
      </c>
      <c r="I8">
        <v>2</v>
      </c>
    </row>
    <row r="9" spans="1:9" x14ac:dyDescent="0.4">
      <c r="A9" s="46" t="s">
        <v>154</v>
      </c>
      <c r="B9">
        <v>2</v>
      </c>
      <c r="C9">
        <v>2</v>
      </c>
      <c r="F9" t="s">
        <v>149</v>
      </c>
      <c r="G9" t="s">
        <v>153</v>
      </c>
      <c r="H9">
        <v>2</v>
      </c>
    </row>
    <row r="10" spans="1:9" x14ac:dyDescent="0.4">
      <c r="A10" s="45" t="s">
        <v>149</v>
      </c>
      <c r="B10">
        <v>3</v>
      </c>
      <c r="F10" t="s">
        <v>149</v>
      </c>
      <c r="G10" t="s">
        <v>154</v>
      </c>
      <c r="H10">
        <v>1</v>
      </c>
    </row>
    <row r="11" spans="1:9" x14ac:dyDescent="0.4">
      <c r="A11" s="46" t="s">
        <v>153</v>
      </c>
      <c r="B11">
        <v>2</v>
      </c>
      <c r="F11" t="s">
        <v>150</v>
      </c>
      <c r="G11" t="s">
        <v>153</v>
      </c>
      <c r="H11">
        <v>5</v>
      </c>
    </row>
    <row r="12" spans="1:9" x14ac:dyDescent="0.4">
      <c r="A12" s="46" t="s">
        <v>154</v>
      </c>
      <c r="B12">
        <v>1</v>
      </c>
      <c r="F12" t="s">
        <v>150</v>
      </c>
      <c r="G12" t="s">
        <v>154</v>
      </c>
      <c r="H12">
        <v>3</v>
      </c>
      <c r="I12">
        <v>3</v>
      </c>
    </row>
    <row r="13" spans="1:9" x14ac:dyDescent="0.4">
      <c r="A13" s="45" t="s">
        <v>150</v>
      </c>
      <c r="B13">
        <v>8</v>
      </c>
      <c r="C13">
        <v>3</v>
      </c>
      <c r="F13" t="s">
        <v>170</v>
      </c>
      <c r="G13" t="s">
        <v>153</v>
      </c>
      <c r="H13">
        <v>2</v>
      </c>
    </row>
    <row r="14" spans="1:9" x14ac:dyDescent="0.4">
      <c r="A14" s="46" t="s">
        <v>153</v>
      </c>
      <c r="B14">
        <v>5</v>
      </c>
      <c r="F14" t="s">
        <v>170</v>
      </c>
      <c r="G14" t="s">
        <v>154</v>
      </c>
      <c r="H14">
        <v>2</v>
      </c>
    </row>
    <row r="15" spans="1:9" x14ac:dyDescent="0.4">
      <c r="A15" s="46" t="s">
        <v>154</v>
      </c>
      <c r="B15">
        <v>3</v>
      </c>
      <c r="C15">
        <v>3</v>
      </c>
      <c r="G15" t="s">
        <v>151</v>
      </c>
      <c r="H15">
        <f>SUM(H5:H14)</f>
        <v>27</v>
      </c>
      <c r="I15">
        <f>SUM(I12:I14)</f>
        <v>3</v>
      </c>
    </row>
    <row r="16" spans="1:9" x14ac:dyDescent="0.4">
      <c r="A16" s="45" t="s">
        <v>170</v>
      </c>
      <c r="B16">
        <v>4</v>
      </c>
    </row>
    <row r="17" spans="1:16" x14ac:dyDescent="0.4">
      <c r="A17" s="46" t="s">
        <v>153</v>
      </c>
      <c r="B17">
        <v>2</v>
      </c>
    </row>
    <row r="18" spans="1:16" x14ac:dyDescent="0.4">
      <c r="A18" s="46" t="s">
        <v>154</v>
      </c>
      <c r="B18">
        <v>2</v>
      </c>
    </row>
    <row r="19" spans="1:16" x14ac:dyDescent="0.4">
      <c r="A19" s="45" t="s">
        <v>151</v>
      </c>
      <c r="B19">
        <v>27</v>
      </c>
      <c r="C19">
        <v>12</v>
      </c>
      <c r="J19" s="48" t="s">
        <v>154</v>
      </c>
      <c r="K19" s="49" t="s">
        <v>148</v>
      </c>
      <c r="L19" s="49" t="s">
        <v>149</v>
      </c>
      <c r="M19" s="49" t="s">
        <v>150</v>
      </c>
      <c r="N19" s="49" t="s">
        <v>147</v>
      </c>
      <c r="O19" s="49" t="s">
        <v>170</v>
      </c>
      <c r="P19" s="49" t="s">
        <v>151</v>
      </c>
    </row>
    <row r="20" spans="1:16" x14ac:dyDescent="0.4">
      <c r="J20" s="48" t="s">
        <v>171</v>
      </c>
      <c r="K20" s="50">
        <v>2</v>
      </c>
      <c r="L20" s="50">
        <v>1</v>
      </c>
      <c r="M20" s="50">
        <v>3</v>
      </c>
      <c r="N20" s="50">
        <v>2</v>
      </c>
      <c r="O20" s="50">
        <v>2</v>
      </c>
      <c r="P20" s="50">
        <f>SUM(K20:O20)</f>
        <v>10</v>
      </c>
    </row>
    <row r="21" spans="1:16" x14ac:dyDescent="0.4">
      <c r="J21" s="48" t="s">
        <v>172</v>
      </c>
      <c r="K21" s="51">
        <v>2</v>
      </c>
      <c r="L21" s="51"/>
      <c r="M21" s="51">
        <v>3</v>
      </c>
      <c r="N21" s="51">
        <v>2</v>
      </c>
      <c r="O21" s="51"/>
      <c r="P21" s="50">
        <f>SUM(K21:O21)</f>
        <v>7</v>
      </c>
    </row>
    <row r="22" spans="1:16" x14ac:dyDescent="0.4">
      <c r="J22" s="48"/>
      <c r="K22" s="48"/>
      <c r="L22" s="48"/>
      <c r="M22" s="48"/>
      <c r="N22" s="48"/>
      <c r="O22" s="48"/>
      <c r="P22" s="48"/>
    </row>
    <row r="23" spans="1:16" x14ac:dyDescent="0.4">
      <c r="J23" s="48" t="s">
        <v>153</v>
      </c>
      <c r="K23" s="49" t="s">
        <v>148</v>
      </c>
      <c r="L23" s="49" t="s">
        <v>149</v>
      </c>
      <c r="M23" s="49" t="s">
        <v>150</v>
      </c>
      <c r="N23" s="49" t="s">
        <v>147</v>
      </c>
      <c r="O23" s="49" t="s">
        <v>170</v>
      </c>
      <c r="P23" s="49" t="s">
        <v>151</v>
      </c>
    </row>
    <row r="24" spans="1:16" x14ac:dyDescent="0.4">
      <c r="J24" s="48" t="s">
        <v>171</v>
      </c>
      <c r="K24" s="50">
        <v>6</v>
      </c>
      <c r="L24" s="50">
        <v>2</v>
      </c>
      <c r="M24" s="50">
        <v>5</v>
      </c>
      <c r="N24" s="50">
        <v>2</v>
      </c>
      <c r="O24" s="50">
        <v>2</v>
      </c>
      <c r="P24" s="50">
        <f>SUM(K24:O24)</f>
        <v>17</v>
      </c>
    </row>
    <row r="25" spans="1:16" x14ac:dyDescent="0.4">
      <c r="J25" s="48" t="s">
        <v>172</v>
      </c>
      <c r="K25" s="51">
        <v>5</v>
      </c>
      <c r="L25" s="50"/>
      <c r="M25" s="50"/>
      <c r="N25" s="50"/>
      <c r="O25" s="50"/>
      <c r="P25" s="50">
        <f>SUM(K25:O25)</f>
        <v>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16A58-93BA-4AF5-B09E-796FF1710396}">
  <dimension ref="A1:A11"/>
  <sheetViews>
    <sheetView workbookViewId="0">
      <selection activeCell="J19" sqref="J19"/>
    </sheetView>
  </sheetViews>
  <sheetFormatPr defaultRowHeight="17" x14ac:dyDescent="0.4"/>
  <cols>
    <col min="1" max="1" width="10.54296875" customWidth="1"/>
  </cols>
  <sheetData>
    <row r="1" spans="1:1" x14ac:dyDescent="0.4">
      <c r="A1" s="89" t="s">
        <v>280</v>
      </c>
    </row>
    <row r="2" spans="1:1" x14ac:dyDescent="0.4">
      <c r="A2" s="97" t="s">
        <v>264</v>
      </c>
    </row>
    <row r="3" spans="1:1" x14ac:dyDescent="0.4">
      <c r="A3" s="128" t="s">
        <v>271</v>
      </c>
    </row>
    <row r="4" spans="1:1" x14ac:dyDescent="0.4">
      <c r="A4" s="128" t="s">
        <v>265</v>
      </c>
    </row>
    <row r="5" spans="1:1" x14ac:dyDescent="0.4">
      <c r="A5" s="128" t="s">
        <v>266</v>
      </c>
    </row>
    <row r="6" spans="1:1" x14ac:dyDescent="0.4">
      <c r="A6" s="128" t="s">
        <v>267</v>
      </c>
    </row>
    <row r="7" spans="1:1" x14ac:dyDescent="0.4">
      <c r="A7" s="128" t="s">
        <v>268</v>
      </c>
    </row>
    <row r="8" spans="1:1" x14ac:dyDescent="0.4">
      <c r="A8" s="128" t="s">
        <v>269</v>
      </c>
    </row>
    <row r="9" spans="1:1" x14ac:dyDescent="0.4">
      <c r="A9" s="128" t="s">
        <v>270</v>
      </c>
    </row>
    <row r="10" spans="1:1" x14ac:dyDescent="0.4">
      <c r="A10" s="128" t="s">
        <v>279</v>
      </c>
    </row>
    <row r="11" spans="1:1" x14ac:dyDescent="0.4">
      <c r="A11" s="128" t="s">
        <v>274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工作表1</vt:lpstr>
      <vt:lpstr>工作表2</vt:lpstr>
      <vt:lpstr>2024</vt:lpstr>
    </vt:vector>
  </TitlesOfParts>
  <Company>中興工程顧問股份有限公司</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黃琬淇</dc:creator>
  <cp:lastModifiedBy>Wanchi Huang</cp:lastModifiedBy>
  <dcterms:created xsi:type="dcterms:W3CDTF">2023-01-19T02:33:50Z</dcterms:created>
  <dcterms:modified xsi:type="dcterms:W3CDTF">2026-01-06T07:44:43Z</dcterms:modified>
</cp:coreProperties>
</file>